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igormalkov/Python/DSDMW/MecrAnalyse/"/>
    </mc:Choice>
  </mc:AlternateContent>
  <xr:revisionPtr revIDLastSave="0" documentId="8_{37DD5418-138E-5F4D-A2D3-CCF0FF5E18A6}" xr6:coauthVersionLast="47" xr6:coauthVersionMax="47" xr10:uidLastSave="{00000000-0000-0000-0000-000000000000}"/>
  <bookViews>
    <workbookView xWindow="30240" yWindow="600" windowWidth="38400" windowHeight="21000" tabRatio="500" xr2:uid="{00000000-000D-0000-FFFF-FFFF00000000}"/>
  </bookViews>
  <sheets>
    <sheet name="Чек-лист Киоск" sheetId="1" r:id="rId1"/>
    <sheet name="Чек-лист HoReCa Бар" sheetId="2" r:id="rId2"/>
    <sheet name="Чек-лист HoReCa Кафе" sheetId="3" r:id="rId3"/>
    <sheet name="Примеры значений KPI" sheetId="4" r:id="rId4"/>
    <sheet name="Источник данных по KPI" sheetId="5" r:id="rId5"/>
    <sheet name="Perfect Store Score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3" i="6" l="1"/>
  <c r="E12" i="6"/>
  <c r="E11" i="6"/>
  <c r="E10" i="6"/>
  <c r="E9" i="6"/>
  <c r="E8" i="6"/>
  <c r="E7" i="6"/>
  <c r="E6" i="6"/>
  <c r="E5" i="6"/>
  <c r="E13" i="6" s="1"/>
</calcChain>
</file>

<file path=xl/sharedStrings.xml><?xml version="1.0" encoding="utf-8"?>
<sst xmlns="http://schemas.openxmlformats.org/spreadsheetml/2006/main" count="817" uniqueCount="327">
  <si>
    <t>Чек-лист аудита ТТ — киоск с холодильником</t>
  </si>
  <si>
    <t>Мерчендайзер:</t>
  </si>
  <si>
    <t>ТТ / адрес:</t>
  </si>
  <si>
    <t>Дата:</t>
  </si>
  <si>
    <t>Пункт проверки</t>
  </si>
  <si>
    <t>Метрика / KPI</t>
  </si>
  <si>
    <t>Цель</t>
  </si>
  <si>
    <t>Факт</t>
  </si>
  <si>
    <t>Статус</t>
  </si>
  <si>
    <t>Комментарий</t>
  </si>
  <si>
    <t>НАЛИЧИЕ</t>
  </si>
  <si>
    <t>Наличие SKU из обязательной матрицы (MML)</t>
  </si>
  <si>
    <t>OSA, %</t>
  </si>
  <si>
    <t>≥ 95%</t>
  </si>
  <si>
    <t>Отсутствие SKU на полке</t>
  </si>
  <si>
    <t>OOS, %</t>
  </si>
  <si>
    <t>≤ 5%</t>
  </si>
  <si>
    <t>Наличие приоритетных / новых SKU</t>
  </si>
  <si>
    <t>% из списка</t>
  </si>
  <si>
    <t>100%</t>
  </si>
  <si>
    <t>Свежесть продукции, отсутствие просрочки</t>
  </si>
  <si>
    <t>FIFO, Да/Нет</t>
  </si>
  <si>
    <t>Да</t>
  </si>
  <si>
    <t>ХОЛОДИЛЬНИК</t>
  </si>
  <si>
    <t>Доля наших SKU в холодильнике</t>
  </si>
  <si>
    <t>Share of Cooler, %</t>
  </si>
  <si>
    <t>≥ 80%</t>
  </si>
  <si>
    <t>Pure cooler (только наши SKU)</t>
  </si>
  <si>
    <t>Да/Нет</t>
  </si>
  <si>
    <t>Заполненность холодильника</t>
  </si>
  <si>
    <t>Fill rate, %</t>
  </si>
  <si>
    <t>≥ 90%</t>
  </si>
  <si>
    <t>Чистота и работоспособность</t>
  </si>
  <si>
    <t>Балл 1-5</t>
  </si>
  <si>
    <t>5</t>
  </si>
  <si>
    <t>Температурный режим</t>
  </si>
  <si>
    <t>°C</t>
  </si>
  <si>
    <t>+2…+6</t>
  </si>
  <si>
    <t>Целостность брендирования (плёнка, топпер)</t>
  </si>
  <si>
    <t>ВЫКЛАДКА</t>
  </si>
  <si>
    <t>Доля полки (фейсинги)</t>
  </si>
  <si>
    <t>Share of Shelf, %</t>
  </si>
  <si>
    <t>≥ 30%</t>
  </si>
  <si>
    <t>Соответствие планограмме</t>
  </si>
  <si>
    <t>%</t>
  </si>
  <si>
    <t>Блочность выкладки (SKU стоят вместе)</t>
  </si>
  <si>
    <t>Выкладка на уровне глаз</t>
  </si>
  <si>
    <t>ЦЕНА</t>
  </si>
  <si>
    <t>Соответствие РРЦ</t>
  </si>
  <si>
    <t>Price compliance, %</t>
  </si>
  <si>
    <t>Наличие ценников на всех SKU</t>
  </si>
  <si>
    <t>Корректность ценников (цена, SKU)</t>
  </si>
  <si>
    <t>POSM</t>
  </si>
  <si>
    <t>Размещение POSM по плану</t>
  </si>
  <si>
    <t>Состояние POSM (не порван, не закрыт)</t>
  </si>
  <si>
    <t>≥ 4</t>
  </si>
  <si>
    <t>Выполнение промо-механики</t>
  </si>
  <si>
    <t>ПРОЦЕСС</t>
  </si>
  <si>
    <t>Визит по маршруту</t>
  </si>
  <si>
    <t>Route compliance</t>
  </si>
  <si>
    <t>Фотоотчёт до/после</t>
  </si>
  <si>
    <t>Шт.</t>
  </si>
  <si>
    <t>Оформлен заказ в визите</t>
  </si>
  <si>
    <t>Perfect Store Score (см. вкладку 'Perfect Store Score')</t>
  </si>
  <si>
    <t>Чек-лист аудита ТТ — HoReCa / бар</t>
  </si>
  <si>
    <t>Заведение:</t>
  </si>
  <si>
    <t>МЕНЮ И БАРНАЯ КАРТА</t>
  </si>
  <si>
    <t>Наличие в барной карте всех SKU из MML</t>
  </si>
  <si>
    <t>Menu listing, %</t>
  </si>
  <si>
    <t>Позиция в карте (выделенный блок / топ)</t>
  </si>
  <si>
    <t>Featured cocktail / коктейль дня на нашей базе</t>
  </si>
  <si>
    <t>Рекомендованные цены в меню</t>
  </si>
  <si>
    <t>НАЛИЧИЕ И ВЫКЛАДКА</t>
  </si>
  <si>
    <t>Наличие SKU на back-bar</t>
  </si>
  <si>
    <t>SKU на back-bar выставлены лицом к гостю</t>
  </si>
  <si>
    <t>Позиция на back-bar (центр / speed rail)</t>
  </si>
  <si>
    <t>Свежесть, отсутствие просрочки / окисления</t>
  </si>
  <si>
    <t>FIFO</t>
  </si>
  <si>
    <t>БРЕНД-ОБОРУДОВАНИЕ И ПОДАЧА</t>
  </si>
  <si>
    <t>Брендированные бокалы / стекло на барной стойке</t>
  </si>
  <si>
    <t>Подача в брендированной посуде по стандарту</t>
  </si>
  <si>
    <t>% подач</t>
  </si>
  <si>
    <t>Дисплей / холодильник с нашим продуктом работает</t>
  </si>
  <si>
    <t>Доля брендированных открытых позиций (напр. «пиво дня»)</t>
  </si>
  <si>
    <t>≥ 50%</t>
  </si>
  <si>
    <t>POSM И АКТИВАЦИИ</t>
  </si>
  <si>
    <t>Размещение POSM по плану (table tent, menu clip)</t>
  </si>
  <si>
    <t>Состояние POSM</t>
  </si>
  <si>
    <t>Проведение ивента / дегустации по плану</t>
  </si>
  <si>
    <t>ПЕРСОНАЛ</t>
  </si>
  <si>
    <t>Знание бренда / продукта (тайный гость, опрос)</t>
  </si>
  <si>
    <t>Staff knowledge, %</t>
  </si>
  <si>
    <t>Соблюдение рекомендованной рецептуры</t>
  </si>
  <si>
    <t>Готовность рекомендовать продукт</t>
  </si>
  <si>
    <t>Фотоотчёт back-bar / меню / POSM</t>
  </si>
  <si>
    <t>≥ 5</t>
  </si>
  <si>
    <t>Чек-лист аудита ТТ — HoReCa / кафе, ресторан</t>
  </si>
  <si>
    <t>МЕНЮ</t>
  </si>
  <si>
    <t>Наличие SKU в меню</t>
  </si>
  <si>
    <t>Позиция в меню (первая страница / выделение)</t>
  </si>
  <si>
    <t>Наличие отдельной страницы / раздела бренда</t>
  </si>
  <si>
    <t>Указание бренда рядом с блюдом/напитком</t>
  </si>
  <si>
    <t>Цены в меню соответствуют рекомендованным</t>
  </si>
  <si>
    <t>НАЛИЧИЕ И ХРАНЕНИЕ</t>
  </si>
  <si>
    <t>Наличие SKU на точке (склад + зал)</t>
  </si>
  <si>
    <t>FIFO / свежесть / сроки годности</t>
  </si>
  <si>
    <t>Условия хранения по стандарту</t>
  </si>
  <si>
    <t>ПОДАЧА И СЕРВИРОВКА</t>
  </si>
  <si>
    <t>Брендированная посуда / стекло на столах</t>
  </si>
  <si>
    <t>Подача по стандарту бренда (% заказов)</t>
  </si>
  <si>
    <t>Доля брендированных открытых позиций в категории</t>
  </si>
  <si>
    <t>POSM И ВИДИМОСТЬ</t>
  </si>
  <si>
    <t>Размещение POSM по плану (tent card, tabletop)</t>
  </si>
  <si>
    <t>Внешняя / уличная навигация (при наличии)</t>
  </si>
  <si>
    <t>Проведение промо / дегустации / ивента</t>
  </si>
  <si>
    <t>Знание продукта официантами</t>
  </si>
  <si>
    <t>Готовность рекомендовать (upsell)</t>
  </si>
  <si>
    <t>Соблюдение стандарта подачи и рецептуры</t>
  </si>
  <si>
    <t>Фотоотчёт (меню, стол, POSM, зал)</t>
  </si>
  <si>
    <t>≥ 6</t>
  </si>
  <si>
    <t>Оформлен заказ / фиксация остатков</t>
  </si>
  <si>
    <t>Примеры значений KPI — норма, целевой и критический уровни</t>
  </si>
  <si>
    <t>Категория</t>
  </si>
  <si>
    <t>KPI</t>
  </si>
  <si>
    <t>Формула / как считать</t>
  </si>
  <si>
    <t>Ед.изм.</t>
  </si>
  <si>
    <t>Красный (плохо)</t>
  </si>
  <si>
    <t>Жёлтый (ОК)</t>
  </si>
  <si>
    <t>Зелёный (цель)</t>
  </si>
  <si>
    <t>Пример факт. значения</t>
  </si>
  <si>
    <t>Наличие</t>
  </si>
  <si>
    <t>OSA (On-Shelf Availability)</t>
  </si>
  <si>
    <t>SKU в наличии / SKU в MML</t>
  </si>
  <si>
    <t>&lt; 85%</t>
  </si>
  <si>
    <t>85–94%</t>
  </si>
  <si>
    <t>OOS (Out of Stock)</t>
  </si>
  <si>
    <t>SKU отсутствуют / SKU в MML</t>
  </si>
  <si>
    <t>&gt; 10%</t>
  </si>
  <si>
    <t>5–10%</t>
  </si>
  <si>
    <t>Нумерическая дистрибуция</t>
  </si>
  <si>
    <t>ТТ с SKU / всего ТТ в канале</t>
  </si>
  <si>
    <t>&lt; 60%</t>
  </si>
  <si>
    <t>60–79%</t>
  </si>
  <si>
    <t>Взвешенная дистрибуция</t>
  </si>
  <si>
    <t>Продажи ТТ с SKU / общ. продажи</t>
  </si>
  <si>
    <t>&lt; 70%</t>
  </si>
  <si>
    <t>70–84%</t>
  </si>
  <si>
    <t>≥ 85%</t>
  </si>
  <si>
    <t>Дистрибуция приоритетных / новых SKU</t>
  </si>
  <si>
    <t>New SKU в ТТ / план</t>
  </si>
  <si>
    <t>Выкладка</t>
  </si>
  <si>
    <t>Share of Shelf (SoS)</t>
  </si>
  <si>
    <t>Наши фейсинги / все фейсинги категории</t>
  </si>
  <si>
    <t>&lt; 20%</t>
  </si>
  <si>
    <t>20–29%</t>
  </si>
  <si>
    <t>Совпавшие позиции / всего по планограмме</t>
  </si>
  <si>
    <t>&lt; 75%</t>
  </si>
  <si>
    <t>75–89%</t>
  </si>
  <si>
    <t>Доля «золотой полки»</t>
  </si>
  <si>
    <t>Наши SKU на уровне глаз / наши всего</t>
  </si>
  <si>
    <t>&lt; 40%</t>
  </si>
  <si>
    <t>40–59%</t>
  </si>
  <si>
    <t>≥ 60%</t>
  </si>
  <si>
    <t>Блочность выкладки</t>
  </si>
  <si>
    <t>Оценка 0/1 по визиту</t>
  </si>
  <si>
    <t>70–89%</t>
  </si>
  <si>
    <t>Холодильник</t>
  </si>
  <si>
    <t>Share of Cooler</t>
  </si>
  <si>
    <t>Наши SKU / все SKU в холодильнике</t>
  </si>
  <si>
    <t>Pure Cooler</t>
  </si>
  <si>
    <t>Холодильники только с нашим SKU / всего</t>
  </si>
  <si>
    <t>Fill Rate холодильника</t>
  </si>
  <si>
    <t>Заполненных полок / всего полок</t>
  </si>
  <si>
    <t>Исправность холодильника</t>
  </si>
  <si>
    <t>Работает + чистый + температура</t>
  </si>
  <si>
    <t>Нет</t>
  </si>
  <si>
    <t>—</t>
  </si>
  <si>
    <t>Цена</t>
  </si>
  <si>
    <t>Price compliance (РРЦ)</t>
  </si>
  <si>
    <t>SKU с корректной ценой / всего SKU</t>
  </si>
  <si>
    <t>Наличие ценников</t>
  </si>
  <si>
    <t>SKU с ценником / SKU в наличии</t>
  </si>
  <si>
    <t>&lt; 90%</t>
  </si>
  <si>
    <t>90–99%</t>
  </si>
  <si>
    <t>Корректность ценника (SKU, цена)</t>
  </si>
  <si>
    <t>Корректные / всего</t>
  </si>
  <si>
    <t>90–94%</t>
  </si>
  <si>
    <t>POSM / промо</t>
  </si>
  <si>
    <t>POSM placement</t>
  </si>
  <si>
    <t>Размещённые POSM / по плану</t>
  </si>
  <si>
    <t>Средний балл 1-5</t>
  </si>
  <si>
    <t>балл</t>
  </si>
  <si>
    <t>&lt; 3</t>
  </si>
  <si>
    <t>3–3,9</t>
  </si>
  <si>
    <t>Активные промо / по плану</t>
  </si>
  <si>
    <t>&lt; 80%</t>
  </si>
  <si>
    <t>80–94%</t>
  </si>
  <si>
    <t>HoReCa</t>
  </si>
  <si>
    <t>Menu listing</t>
  </si>
  <si>
    <t>SKU в меню / SKU в MML</t>
  </si>
  <si>
    <t>80–99%</t>
  </si>
  <si>
    <t>Featured position в меню</t>
  </si>
  <si>
    <t>0/1 по визиту</t>
  </si>
  <si>
    <t>Брендированная посуда на столах</t>
  </si>
  <si>
    <t>Столы с брендированной посудой / всего</t>
  </si>
  <si>
    <t>&lt; 50%</t>
  </si>
  <si>
    <t>50–79%</t>
  </si>
  <si>
    <t>Staff knowledge (тайный гость)</t>
  </si>
  <si>
    <t>Верные ответы / всего вопросов</t>
  </si>
  <si>
    <t>Соблюдение рецептуры / стандарта подачи</t>
  </si>
  <si>
    <t>Корректные подачи / проверенные</t>
  </si>
  <si>
    <t>Процесс</t>
  </si>
  <si>
    <t>Визитов по плану / всего</t>
  </si>
  <si>
    <t>Средн. время в ТТ</t>
  </si>
  <si>
    <t>Среднее по визитам</t>
  </si>
  <si>
    <t>мин</t>
  </si>
  <si>
    <t>&lt; 10</t>
  </si>
  <si>
    <t>10–14</t>
  </si>
  <si>
    <t>≥ 15</t>
  </si>
  <si>
    <t>Strike rate (визит → заказ)</t>
  </si>
  <si>
    <t>Визиты с заказом / всего визитов</t>
  </si>
  <si>
    <t>50–69%</t>
  </si>
  <si>
    <t>≥ 70%</t>
  </si>
  <si>
    <t>Качество фотоотчёта</t>
  </si>
  <si>
    <t>Визиты с валидными фото / всего</t>
  </si>
  <si>
    <t>Интегральный</t>
  </si>
  <si>
    <t>Perfect Store Score</t>
  </si>
  <si>
    <t>Сумма весов × выполнение</t>
  </si>
  <si>
    <t>Источник данных по каждому KPI</t>
  </si>
  <si>
    <t>Легенда: ● = полностью автоматизируется;  ◐ = частично / с оговорками;  ○ = неприменимо. Основной источник выделен жирным.</t>
  </si>
  <si>
    <t>Фото полки/холодильника/меню</t>
  </si>
  <si>
    <t>SFA / приложение мерчендайзера</t>
  </si>
  <si>
    <t>Чеки / кассовые данные</t>
  </si>
  <si>
    <t>Тайный гость / аудио</t>
  </si>
  <si>
    <t>Ручной ввод в чек-лист</t>
  </si>
  <si>
    <t>Основной источник</t>
  </si>
  <si>
    <t>◐</t>
  </si>
  <si>
    <t>●</t>
  </si>
  <si>
    <t>○</t>
  </si>
  <si>
    <t>Фото + MML (SFA)</t>
  </si>
  <si>
    <t>SFA (агрегат по сети)</t>
  </si>
  <si>
    <t>SFA + чеки</t>
  </si>
  <si>
    <t>Фото + SFA</t>
  </si>
  <si>
    <t>Свежесть / FIFO / отсутствие просрочки</t>
  </si>
  <si>
    <t>Ручной ввод (дата на упаковке)</t>
  </si>
  <si>
    <t>Фото полки</t>
  </si>
  <si>
    <t>Фото + планограмма в SFA</t>
  </si>
  <si>
    <t>Выкладка на уровне глаз (Да/Нет)</t>
  </si>
  <si>
    <t>Фото холодильника</t>
  </si>
  <si>
    <t>Fill rate холодильника</t>
  </si>
  <si>
    <t>Целостность брендирования (плёнка/топпер)</t>
  </si>
  <si>
    <t>Ручной ввод</t>
  </si>
  <si>
    <t>Температурный режим (°C)</t>
  </si>
  <si>
    <t>Ручной ввод (термометр)</t>
  </si>
  <si>
    <t>Фото ценника (OCR) + чеки</t>
  </si>
  <si>
    <t>Корректность ценников (SKU ↔ цена)</t>
  </si>
  <si>
    <t>Фото + чеки</t>
  </si>
  <si>
    <t>Фото + план размещения (SFA)</t>
  </si>
  <si>
    <t>Фото</t>
  </si>
  <si>
    <t>Выполнение промо-механики (скидка, 2+1)</t>
  </si>
  <si>
    <t>Проведение дегустации / ивента</t>
  </si>
  <si>
    <t>Ручной ввод + фото-подтверждение</t>
  </si>
  <si>
    <t>Menu listing (наличие в меню)</t>
  </si>
  <si>
    <t>Фото меню (OCR)</t>
  </si>
  <si>
    <t>Фото меню</t>
  </si>
  <si>
    <t>Фото стола / зала</t>
  </si>
  <si>
    <t>Подача по стандарту (% заказов)</t>
  </si>
  <si>
    <t>Тайный гость</t>
  </si>
  <si>
    <t>Staff knowledge / знание продукта</t>
  </si>
  <si>
    <t>Тайный гость / опрос</t>
  </si>
  <si>
    <t>Соблюдение рецептуры</t>
  </si>
  <si>
    <t>SFA / GPS</t>
  </si>
  <si>
    <t>Время в ТТ</t>
  </si>
  <si>
    <t>SFA</t>
  </si>
  <si>
    <t>Качество и полнота фотоотчёта</t>
  </si>
  <si>
    <t>SFA + автопроверка фото</t>
  </si>
  <si>
    <t>SFA (агрегатор всех блоков)</t>
  </si>
  <si>
    <t>Итоги: что полностью автоматизируется по фото</t>
  </si>
  <si>
    <t>•  Share of Shelf, Share of Cooler, Pure Cooler, fill rate холодильника</t>
  </si>
  <si>
    <t>•  Соответствие планограмме, блочность, доля золотой полки, выкладка на уровне глаз</t>
  </si>
  <si>
    <t>•  Наличие ценников, размещение POSM, состояние POSM</t>
  </si>
  <si>
    <t>•  Menu listing, featured position, брендированная посуда (HoReCa)</t>
  </si>
  <si>
    <t>•  Целостность брендирования холодильника, дистрибуция новых SKU</t>
  </si>
  <si>
    <t>Фото — часть картины, нужен второй источник</t>
  </si>
  <si>
    <t>•  OSA / OOS — нужна матрица MML из SFA</t>
  </si>
  <si>
    <t>•  Price compliance — нужен OCR ценника + верификация чеками</t>
  </si>
  <si>
    <t>•  FIFO / просрочка — дата на упаковке часто не читается (особенно через стекло)</t>
  </si>
  <si>
    <t>•  Выполнение промо-механики — POSM видно, но факт скидки — только по чекам</t>
  </si>
  <si>
    <t>•  Температура холодильника — только если в кадре есть дисплей термометра</t>
  </si>
  <si>
    <t>По фото не считается — нужны другие источники</t>
  </si>
  <si>
    <t>•  Нумерическая и взвешенная дистрибуция — агрегат по сети, не по одному фото</t>
  </si>
  <si>
    <t>•  Route compliance, время в ТТ, strike rate — SFA/GPS</t>
  </si>
  <si>
    <t>•  Staff knowledge, соблюдение рецептуры, готовность рекомендовать — тайный гость</t>
  </si>
  <si>
    <t>•  Фактические продажи / прирост объёма — кассовые данные</t>
  </si>
  <si>
    <t>Perfect Store Score — модель с весами</t>
  </si>
  <si>
    <t>Как пользоваться: заполните колонку 'Выполнение, %' по каждому блоку. Итог считается автоматически.</t>
  </si>
  <si>
    <t>Блок KPI</t>
  </si>
  <si>
    <t>Что входит (кратко)</t>
  </si>
  <si>
    <t>Вес, %</t>
  </si>
  <si>
    <t>Выполнение, %</t>
  </si>
  <si>
    <t>Балл (вес × вып.)</t>
  </si>
  <si>
    <t>Цель выполнения</t>
  </si>
  <si>
    <t>Наличие (OSA / дистрибуция)</t>
  </si>
  <si>
    <t>OSA, OOS, новые SKU</t>
  </si>
  <si>
    <t>Выкладка / планограмма</t>
  </si>
  <si>
    <t>SoS, compliance, золотая полка, блочность</t>
  </si>
  <si>
    <t>Share of Cooler, Pure Cooler, fill rate, исправность</t>
  </si>
  <si>
    <t>РРЦ, наличие и корректность ценников</t>
  </si>
  <si>
    <t>Размещение POSM, состояние, выполнение промо</t>
  </si>
  <si>
    <t>HoReCa: меню и подача</t>
  </si>
  <si>
    <t>Menu listing, featured, брендированная посуда, рецептура</t>
  </si>
  <si>
    <t>Персонал / знание продукта</t>
  </si>
  <si>
    <t>Staff knowledge, рекомендация, стандарт подачи</t>
  </si>
  <si>
    <t>Процесс мерчендайзера</t>
  </si>
  <si>
    <t>Route, время в ТТ, strike rate, фотоотчёт</t>
  </si>
  <si>
    <t>Итого</t>
  </si>
  <si>
    <t>≥ 85 = зелёный</t>
  </si>
  <si>
    <t>Интерпретация итогового балла Perfect Store</t>
  </si>
  <si>
    <t>Зона</t>
  </si>
  <si>
    <t>Диапазон</t>
  </si>
  <si>
    <t>Действие</t>
  </si>
  <si>
    <t>Красная зона</t>
  </si>
  <si>
    <t>ТТ под риском — срочный план коррекции в течение недели</t>
  </si>
  <si>
    <t>Жёлтая зона</t>
  </si>
  <si>
    <t>Средний уровень — требуется адресное улучшение слабых блоков</t>
  </si>
  <si>
    <t>Зелёная зона</t>
  </si>
  <si>
    <t>Perfect Store — поддерживающий визит, без экстренных действий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</si>
</sst>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i/>
      <sz val="10"/>
      <color rgb="FF59595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305496"/>
        <bgColor rgb="FF1F4E78"/>
      </patternFill>
    </fill>
    <fill>
      <patternFill patternType="solid">
        <fgColor rgb="FF1F4E78"/>
        <bgColor rgb="FF305496"/>
      </patternFill>
    </fill>
    <fill>
      <patternFill patternType="solid">
        <fgColor rgb="FFD9E1F2"/>
        <bgColor rgb="FFC6EFCE"/>
      </patternFill>
    </fill>
    <fill>
      <patternFill patternType="solid">
        <fgColor rgb="FFFFF2CC"/>
        <bgColor rgb="FFFFEB9C"/>
      </patternFill>
    </fill>
    <fill>
      <patternFill patternType="solid">
        <fgColor rgb="FFFFC7CE"/>
        <bgColor rgb="FFD9E1F2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D9E1F2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5" fillId="8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0" xfId="0" applyFont="1" applyFill="1"/>
    <xf numFmtId="0" fontId="2" fillId="6" borderId="0" xfId="0" applyFont="1" applyFill="1"/>
    <xf numFmtId="0" fontId="2" fillId="7" borderId="0" xfId="0" applyFont="1" applyFill="1"/>
    <xf numFmtId="0" fontId="5" fillId="0" borderId="0" xfId="0" applyFont="1"/>
    <xf numFmtId="0" fontId="2" fillId="8" borderId="0" xfId="0" applyFont="1" applyFill="1"/>
    <xf numFmtId="0" fontId="6" fillId="0" borderId="0" xfId="0" applyFont="1"/>
    <xf numFmtId="0" fontId="2" fillId="5" borderId="0" xfId="0" applyFont="1" applyFill="1"/>
    <xf numFmtId="0" fontId="4" fillId="4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2" fillId="5" borderId="1" xfId="0" applyFont="1" applyFill="1" applyBorder="1"/>
    <xf numFmtId="0" fontId="0" fillId="5" borderId="1" xfId="0" applyFill="1" applyBorder="1"/>
    <xf numFmtId="1" fontId="2" fillId="5" borderId="1" xfId="0" applyNumberFormat="1" applyFont="1" applyFill="1" applyBorder="1"/>
    <xf numFmtId="164" fontId="2" fillId="5" borderId="1" xfId="0" applyNumberFormat="1" applyFont="1" applyFill="1" applyBorder="1"/>
    <xf numFmtId="0" fontId="2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6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zoomScaleNormal="100" workbookViewId="0">
      <selection sqref="A1:F1"/>
    </sheetView>
  </sheetViews>
  <sheetFormatPr baseColWidth="10" defaultColWidth="8.6640625" defaultRowHeight="15" x14ac:dyDescent="0.2"/>
  <cols>
    <col min="1" max="1" width="44" customWidth="1"/>
    <col min="2" max="2" width="22" customWidth="1"/>
    <col min="3" max="3" width="14" customWidth="1"/>
    <col min="4" max="4" width="12" customWidth="1"/>
    <col min="5" max="5" width="14" customWidth="1"/>
    <col min="6" max="6" width="30" customWidth="1"/>
  </cols>
  <sheetData>
    <row r="1" spans="1:6" ht="24" customHeight="1" x14ac:dyDescent="0.2">
      <c r="A1" s="13" t="s">
        <v>0</v>
      </c>
      <c r="B1" s="13"/>
      <c r="C1" s="13"/>
      <c r="D1" s="13"/>
      <c r="E1" s="13"/>
      <c r="F1" s="13"/>
    </row>
    <row r="2" spans="1:6" ht="15" customHeight="1" x14ac:dyDescent="0.2">
      <c r="A2" s="14" t="s">
        <v>1</v>
      </c>
      <c r="C2" s="14" t="s">
        <v>2</v>
      </c>
      <c r="E2" s="14" t="s">
        <v>3</v>
      </c>
    </row>
    <row r="4" spans="1:6" ht="15" customHeight="1" x14ac:dyDescent="0.2">
      <c r="A4" s="15" t="s">
        <v>4</v>
      </c>
      <c r="B4" s="15" t="s">
        <v>5</v>
      </c>
      <c r="C4" s="15" t="s">
        <v>6</v>
      </c>
      <c r="D4" s="15" t="s">
        <v>7</v>
      </c>
      <c r="E4" s="15" t="s">
        <v>8</v>
      </c>
      <c r="F4" s="15" t="s">
        <v>9</v>
      </c>
    </row>
    <row r="5" spans="1:6" ht="15" customHeight="1" x14ac:dyDescent="0.2">
      <c r="A5" s="12" t="s">
        <v>10</v>
      </c>
      <c r="B5" s="12"/>
      <c r="C5" s="12"/>
      <c r="D5" s="12"/>
      <c r="E5" s="12"/>
      <c r="F5" s="12"/>
    </row>
    <row r="6" spans="1:6" ht="15" customHeight="1" x14ac:dyDescent="0.2">
      <c r="A6" s="16" t="s">
        <v>11</v>
      </c>
      <c r="B6" s="17" t="s">
        <v>12</v>
      </c>
      <c r="C6" s="17" t="s">
        <v>13</v>
      </c>
      <c r="D6" s="17"/>
      <c r="E6" s="17"/>
      <c r="F6" s="17"/>
    </row>
    <row r="7" spans="1:6" ht="15" customHeight="1" x14ac:dyDescent="0.2">
      <c r="A7" s="16" t="s">
        <v>14</v>
      </c>
      <c r="B7" s="17" t="s">
        <v>15</v>
      </c>
      <c r="C7" s="17" t="s">
        <v>16</v>
      </c>
      <c r="D7" s="17"/>
      <c r="E7" s="17"/>
      <c r="F7" s="17"/>
    </row>
    <row r="8" spans="1:6" ht="15" customHeight="1" x14ac:dyDescent="0.2">
      <c r="A8" s="16" t="s">
        <v>17</v>
      </c>
      <c r="B8" s="17" t="s">
        <v>18</v>
      </c>
      <c r="C8" s="17" t="s">
        <v>19</v>
      </c>
      <c r="D8" s="17"/>
      <c r="E8" s="17"/>
      <c r="F8" s="17"/>
    </row>
    <row r="9" spans="1:6" ht="15" customHeight="1" x14ac:dyDescent="0.2">
      <c r="A9" s="16" t="s">
        <v>20</v>
      </c>
      <c r="B9" s="17" t="s">
        <v>21</v>
      </c>
      <c r="C9" s="17" t="s">
        <v>22</v>
      </c>
      <c r="D9" s="17"/>
      <c r="E9" s="17"/>
      <c r="F9" s="17"/>
    </row>
    <row r="10" spans="1:6" ht="15" customHeight="1" x14ac:dyDescent="0.2">
      <c r="A10" s="12" t="s">
        <v>23</v>
      </c>
      <c r="B10" s="12"/>
      <c r="C10" s="12"/>
      <c r="D10" s="12"/>
      <c r="E10" s="12"/>
      <c r="F10" s="12"/>
    </row>
    <row r="11" spans="1:6" ht="15" customHeight="1" x14ac:dyDescent="0.2">
      <c r="A11" s="16" t="s">
        <v>24</v>
      </c>
      <c r="B11" s="17" t="s">
        <v>25</v>
      </c>
      <c r="C11" s="17" t="s">
        <v>26</v>
      </c>
      <c r="D11" s="17"/>
      <c r="E11" s="17"/>
      <c r="F11" s="17"/>
    </row>
    <row r="12" spans="1:6" ht="15" customHeight="1" x14ac:dyDescent="0.2">
      <c r="A12" s="16" t="s">
        <v>27</v>
      </c>
      <c r="B12" s="17" t="s">
        <v>28</v>
      </c>
      <c r="C12" s="17" t="s">
        <v>22</v>
      </c>
      <c r="D12" s="17"/>
      <c r="E12" s="17"/>
      <c r="F12" s="17"/>
    </row>
    <row r="13" spans="1:6" ht="15" customHeight="1" x14ac:dyDescent="0.2">
      <c r="A13" s="16" t="s">
        <v>29</v>
      </c>
      <c r="B13" s="17" t="s">
        <v>30</v>
      </c>
      <c r="C13" s="17" t="s">
        <v>31</v>
      </c>
      <c r="D13" s="17"/>
      <c r="E13" s="17"/>
      <c r="F13" s="17"/>
    </row>
    <row r="14" spans="1:6" ht="15" customHeight="1" x14ac:dyDescent="0.2">
      <c r="A14" s="16" t="s">
        <v>32</v>
      </c>
      <c r="B14" s="17" t="s">
        <v>33</v>
      </c>
      <c r="C14" s="17" t="s">
        <v>34</v>
      </c>
      <c r="D14" s="17"/>
      <c r="E14" s="17"/>
      <c r="F14" s="17"/>
    </row>
    <row r="15" spans="1:6" ht="15" customHeight="1" x14ac:dyDescent="0.2">
      <c r="A15" s="16" t="s">
        <v>35</v>
      </c>
      <c r="B15" s="17" t="s">
        <v>36</v>
      </c>
      <c r="C15" s="17" t="s">
        <v>37</v>
      </c>
      <c r="D15" s="17"/>
      <c r="E15" s="17"/>
      <c r="F15" s="17"/>
    </row>
    <row r="16" spans="1:6" ht="15" customHeight="1" x14ac:dyDescent="0.2">
      <c r="A16" s="16" t="s">
        <v>38</v>
      </c>
      <c r="B16" s="17" t="s">
        <v>28</v>
      </c>
      <c r="C16" s="17" t="s">
        <v>22</v>
      </c>
      <c r="D16" s="17"/>
      <c r="E16" s="17"/>
      <c r="F16" s="17"/>
    </row>
    <row r="17" spans="1:6" ht="15" customHeight="1" x14ac:dyDescent="0.2">
      <c r="A17" s="12" t="s">
        <v>39</v>
      </c>
      <c r="B17" s="12"/>
      <c r="C17" s="12"/>
      <c r="D17" s="12"/>
      <c r="E17" s="12"/>
      <c r="F17" s="12"/>
    </row>
    <row r="18" spans="1:6" ht="15" customHeight="1" x14ac:dyDescent="0.2">
      <c r="A18" s="16" t="s">
        <v>40</v>
      </c>
      <c r="B18" s="17" t="s">
        <v>41</v>
      </c>
      <c r="C18" s="17" t="s">
        <v>42</v>
      </c>
      <c r="D18" s="17"/>
      <c r="E18" s="17"/>
      <c r="F18" s="17"/>
    </row>
    <row r="19" spans="1:6" ht="15" customHeight="1" x14ac:dyDescent="0.2">
      <c r="A19" s="16" t="s">
        <v>43</v>
      </c>
      <c r="B19" s="17" t="s">
        <v>44</v>
      </c>
      <c r="C19" s="17" t="s">
        <v>31</v>
      </c>
      <c r="D19" s="17"/>
      <c r="E19" s="17"/>
      <c r="F19" s="17"/>
    </row>
    <row r="20" spans="1:6" ht="15" customHeight="1" x14ac:dyDescent="0.2">
      <c r="A20" s="16" t="s">
        <v>45</v>
      </c>
      <c r="B20" s="17" t="s">
        <v>28</v>
      </c>
      <c r="C20" s="17" t="s">
        <v>22</v>
      </c>
      <c r="D20" s="17"/>
      <c r="E20" s="17"/>
      <c r="F20" s="17"/>
    </row>
    <row r="21" spans="1:6" ht="15" customHeight="1" x14ac:dyDescent="0.2">
      <c r="A21" s="16" t="s">
        <v>46</v>
      </c>
      <c r="B21" s="17" t="s">
        <v>28</v>
      </c>
      <c r="C21" s="17" t="s">
        <v>22</v>
      </c>
      <c r="D21" s="17"/>
      <c r="E21" s="17"/>
      <c r="F21" s="17"/>
    </row>
    <row r="22" spans="1:6" ht="15" customHeight="1" x14ac:dyDescent="0.2">
      <c r="A22" s="12" t="s">
        <v>47</v>
      </c>
      <c r="B22" s="12"/>
      <c r="C22" s="12"/>
      <c r="D22" s="12"/>
      <c r="E22" s="12"/>
      <c r="F22" s="12"/>
    </row>
    <row r="23" spans="1:6" ht="15" customHeight="1" x14ac:dyDescent="0.2">
      <c r="A23" s="16" t="s">
        <v>48</v>
      </c>
      <c r="B23" s="17" t="s">
        <v>49</v>
      </c>
      <c r="C23" s="17" t="s">
        <v>13</v>
      </c>
      <c r="D23" s="17"/>
      <c r="E23" s="17"/>
      <c r="F23" s="17"/>
    </row>
    <row r="24" spans="1:6" ht="15" customHeight="1" x14ac:dyDescent="0.2">
      <c r="A24" s="16" t="s">
        <v>50</v>
      </c>
      <c r="B24" s="17" t="s">
        <v>44</v>
      </c>
      <c r="C24" s="17" t="s">
        <v>19</v>
      </c>
      <c r="D24" s="17"/>
      <c r="E24" s="17"/>
      <c r="F24" s="17"/>
    </row>
    <row r="25" spans="1:6" ht="15" customHeight="1" x14ac:dyDescent="0.2">
      <c r="A25" s="16" t="s">
        <v>51</v>
      </c>
      <c r="B25" s="17" t="s">
        <v>28</v>
      </c>
      <c r="C25" s="17" t="s">
        <v>22</v>
      </c>
      <c r="D25" s="17"/>
      <c r="E25" s="17"/>
      <c r="F25" s="17"/>
    </row>
    <row r="26" spans="1:6" ht="15" customHeight="1" x14ac:dyDescent="0.2">
      <c r="A26" s="12" t="s">
        <v>52</v>
      </c>
      <c r="B26" s="12"/>
      <c r="C26" s="12"/>
      <c r="D26" s="12"/>
      <c r="E26" s="12"/>
      <c r="F26" s="12"/>
    </row>
    <row r="27" spans="1:6" ht="15" customHeight="1" x14ac:dyDescent="0.2">
      <c r="A27" s="16" t="s">
        <v>53</v>
      </c>
      <c r="B27" s="17" t="s">
        <v>44</v>
      </c>
      <c r="C27" s="17" t="s">
        <v>31</v>
      </c>
      <c r="D27" s="17"/>
      <c r="E27" s="17"/>
      <c r="F27" s="17"/>
    </row>
    <row r="28" spans="1:6" ht="15" customHeight="1" x14ac:dyDescent="0.2">
      <c r="A28" s="16" t="s">
        <v>54</v>
      </c>
      <c r="B28" s="17" t="s">
        <v>33</v>
      </c>
      <c r="C28" s="17" t="s">
        <v>55</v>
      </c>
      <c r="D28" s="17"/>
      <c r="E28" s="17"/>
      <c r="F28" s="17"/>
    </row>
    <row r="29" spans="1:6" ht="15" customHeight="1" x14ac:dyDescent="0.2">
      <c r="A29" s="16" t="s">
        <v>56</v>
      </c>
      <c r="B29" s="17" t="s">
        <v>28</v>
      </c>
      <c r="C29" s="17" t="s">
        <v>22</v>
      </c>
      <c r="D29" s="17"/>
      <c r="E29" s="17"/>
      <c r="F29" s="17"/>
    </row>
    <row r="30" spans="1:6" ht="15" customHeight="1" x14ac:dyDescent="0.2">
      <c r="A30" s="12" t="s">
        <v>57</v>
      </c>
      <c r="B30" s="12"/>
      <c r="C30" s="12"/>
      <c r="D30" s="12"/>
      <c r="E30" s="12"/>
      <c r="F30" s="12"/>
    </row>
    <row r="31" spans="1:6" ht="15" customHeight="1" x14ac:dyDescent="0.2">
      <c r="A31" s="16" t="s">
        <v>58</v>
      </c>
      <c r="B31" s="17" t="s">
        <v>59</v>
      </c>
      <c r="C31" s="17" t="s">
        <v>22</v>
      </c>
      <c r="D31" s="17"/>
      <c r="E31" s="17"/>
      <c r="F31" s="17"/>
    </row>
    <row r="32" spans="1:6" ht="15" customHeight="1" x14ac:dyDescent="0.2">
      <c r="A32" s="16" t="s">
        <v>60</v>
      </c>
      <c r="B32" s="17" t="s">
        <v>61</v>
      </c>
      <c r="C32" s="17" t="s">
        <v>55</v>
      </c>
      <c r="D32" s="17"/>
      <c r="E32" s="17"/>
      <c r="F32" s="17"/>
    </row>
    <row r="33" spans="1:6" ht="15" customHeight="1" x14ac:dyDescent="0.2">
      <c r="A33" s="16" t="s">
        <v>62</v>
      </c>
      <c r="B33" s="17" t="s">
        <v>28</v>
      </c>
      <c r="C33" s="17" t="s">
        <v>22</v>
      </c>
      <c r="D33" s="17"/>
      <c r="E33" s="17"/>
      <c r="F33" s="17"/>
    </row>
    <row r="35" spans="1:6" ht="15" customHeight="1" x14ac:dyDescent="0.2">
      <c r="A35" s="11" t="s">
        <v>63</v>
      </c>
      <c r="B35" s="11"/>
      <c r="C35" s="11"/>
      <c r="D35" s="11"/>
      <c r="E35" s="11"/>
      <c r="F35" s="11"/>
    </row>
  </sheetData>
  <mergeCells count="8">
    <mergeCell ref="A26:F26"/>
    <mergeCell ref="A30:F30"/>
    <mergeCell ref="A35:F35"/>
    <mergeCell ref="A1:F1"/>
    <mergeCell ref="A5:F5"/>
    <mergeCell ref="A10:F10"/>
    <mergeCell ref="A17:F17"/>
    <mergeCell ref="A22:F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"/>
  <sheetViews>
    <sheetView zoomScaleNormal="100" workbookViewId="0">
      <selection sqref="A1:F1"/>
    </sheetView>
  </sheetViews>
  <sheetFormatPr baseColWidth="10" defaultColWidth="8.6640625" defaultRowHeight="15" x14ac:dyDescent="0.2"/>
  <cols>
    <col min="1" max="1" width="44" customWidth="1"/>
    <col min="2" max="2" width="22" customWidth="1"/>
    <col min="3" max="3" width="14" customWidth="1"/>
    <col min="4" max="4" width="12" customWidth="1"/>
    <col min="5" max="5" width="14" customWidth="1"/>
    <col min="6" max="6" width="30" customWidth="1"/>
  </cols>
  <sheetData>
    <row r="1" spans="1:6" ht="24" customHeight="1" x14ac:dyDescent="0.2">
      <c r="A1" s="13" t="s">
        <v>64</v>
      </c>
      <c r="B1" s="13"/>
      <c r="C1" s="13"/>
      <c r="D1" s="13"/>
      <c r="E1" s="13"/>
      <c r="F1" s="13"/>
    </row>
    <row r="2" spans="1:6" ht="15" customHeight="1" x14ac:dyDescent="0.2">
      <c r="A2" s="14" t="s">
        <v>1</v>
      </c>
      <c r="C2" s="14" t="s">
        <v>65</v>
      </c>
      <c r="E2" s="14" t="s">
        <v>3</v>
      </c>
    </row>
    <row r="4" spans="1:6" ht="15" customHeight="1" x14ac:dyDescent="0.2">
      <c r="A4" s="15" t="s">
        <v>4</v>
      </c>
      <c r="B4" s="15" t="s">
        <v>5</v>
      </c>
      <c r="C4" s="15" t="s">
        <v>6</v>
      </c>
      <c r="D4" s="15" t="s">
        <v>7</v>
      </c>
      <c r="E4" s="15" t="s">
        <v>8</v>
      </c>
      <c r="F4" s="15" t="s">
        <v>9</v>
      </c>
    </row>
    <row r="5" spans="1:6" ht="15" customHeight="1" x14ac:dyDescent="0.2">
      <c r="A5" s="12" t="s">
        <v>66</v>
      </c>
      <c r="B5" s="12"/>
      <c r="C5" s="12"/>
      <c r="D5" s="12"/>
      <c r="E5" s="12"/>
      <c r="F5" s="12"/>
    </row>
    <row r="6" spans="1:6" ht="15" customHeight="1" x14ac:dyDescent="0.2">
      <c r="A6" s="16" t="s">
        <v>67</v>
      </c>
      <c r="B6" s="17" t="s">
        <v>68</v>
      </c>
      <c r="C6" s="17" t="s">
        <v>19</v>
      </c>
      <c r="D6" s="17"/>
      <c r="E6" s="17"/>
      <c r="F6" s="17"/>
    </row>
    <row r="7" spans="1:6" ht="15" customHeight="1" x14ac:dyDescent="0.2">
      <c r="A7" s="16" t="s">
        <v>69</v>
      </c>
      <c r="B7" s="17" t="s">
        <v>28</v>
      </c>
      <c r="C7" s="17" t="s">
        <v>22</v>
      </c>
      <c r="D7" s="17"/>
      <c r="E7" s="17"/>
      <c r="F7" s="17"/>
    </row>
    <row r="8" spans="1:6" ht="15" customHeight="1" x14ac:dyDescent="0.2">
      <c r="A8" s="16" t="s">
        <v>70</v>
      </c>
      <c r="B8" s="17" t="s">
        <v>28</v>
      </c>
      <c r="C8" s="17" t="s">
        <v>22</v>
      </c>
      <c r="D8" s="17"/>
      <c r="E8" s="17"/>
      <c r="F8" s="17"/>
    </row>
    <row r="9" spans="1:6" ht="15" customHeight="1" x14ac:dyDescent="0.2">
      <c r="A9" s="16" t="s">
        <v>71</v>
      </c>
      <c r="B9" s="17" t="s">
        <v>44</v>
      </c>
      <c r="C9" s="17" t="s">
        <v>13</v>
      </c>
      <c r="D9" s="17"/>
      <c r="E9" s="17"/>
      <c r="F9" s="17"/>
    </row>
    <row r="10" spans="1:6" ht="15" customHeight="1" x14ac:dyDescent="0.2">
      <c r="A10" s="12" t="s">
        <v>72</v>
      </c>
      <c r="B10" s="12"/>
      <c r="C10" s="12"/>
      <c r="D10" s="12"/>
      <c r="E10" s="12"/>
      <c r="F10" s="12"/>
    </row>
    <row r="11" spans="1:6" ht="15" customHeight="1" x14ac:dyDescent="0.2">
      <c r="A11" s="16" t="s">
        <v>73</v>
      </c>
      <c r="B11" s="17" t="s">
        <v>12</v>
      </c>
      <c r="C11" s="17" t="s">
        <v>19</v>
      </c>
      <c r="D11" s="17"/>
      <c r="E11" s="17"/>
      <c r="F11" s="17"/>
    </row>
    <row r="12" spans="1:6" ht="15" customHeight="1" x14ac:dyDescent="0.2">
      <c r="A12" s="16" t="s">
        <v>74</v>
      </c>
      <c r="B12" s="17" t="s">
        <v>28</v>
      </c>
      <c r="C12" s="17" t="s">
        <v>22</v>
      </c>
      <c r="D12" s="17"/>
      <c r="E12" s="17"/>
      <c r="F12" s="17"/>
    </row>
    <row r="13" spans="1:6" ht="15" customHeight="1" x14ac:dyDescent="0.2">
      <c r="A13" s="16" t="s">
        <v>75</v>
      </c>
      <c r="B13" s="17" t="s">
        <v>28</v>
      </c>
      <c r="C13" s="17" t="s">
        <v>22</v>
      </c>
      <c r="D13" s="17"/>
      <c r="E13" s="17"/>
      <c r="F13" s="17"/>
    </row>
    <row r="14" spans="1:6" ht="15" customHeight="1" x14ac:dyDescent="0.2">
      <c r="A14" s="16" t="s">
        <v>76</v>
      </c>
      <c r="B14" s="17" t="s">
        <v>77</v>
      </c>
      <c r="C14" s="17" t="s">
        <v>22</v>
      </c>
      <c r="D14" s="17"/>
      <c r="E14" s="17"/>
      <c r="F14" s="17"/>
    </row>
    <row r="15" spans="1:6" ht="15" customHeight="1" x14ac:dyDescent="0.2">
      <c r="A15" s="12" t="s">
        <v>78</v>
      </c>
      <c r="B15" s="12"/>
      <c r="C15" s="12"/>
      <c r="D15" s="12"/>
      <c r="E15" s="12"/>
      <c r="F15" s="12"/>
    </row>
    <row r="16" spans="1:6" ht="15" customHeight="1" x14ac:dyDescent="0.2">
      <c r="A16" s="16" t="s">
        <v>79</v>
      </c>
      <c r="B16" s="17" t="s">
        <v>28</v>
      </c>
      <c r="C16" s="17" t="s">
        <v>22</v>
      </c>
      <c r="D16" s="17"/>
      <c r="E16" s="17"/>
      <c r="F16" s="17"/>
    </row>
    <row r="17" spans="1:6" ht="15" customHeight="1" x14ac:dyDescent="0.2">
      <c r="A17" s="16" t="s">
        <v>80</v>
      </c>
      <c r="B17" s="17" t="s">
        <v>81</v>
      </c>
      <c r="C17" s="17" t="s">
        <v>31</v>
      </c>
      <c r="D17" s="17"/>
      <c r="E17" s="17"/>
      <c r="F17" s="17"/>
    </row>
    <row r="18" spans="1:6" ht="23.25" customHeight="1" x14ac:dyDescent="0.2">
      <c r="A18" s="16" t="s">
        <v>82</v>
      </c>
      <c r="B18" s="17" t="s">
        <v>28</v>
      </c>
      <c r="C18" s="17" t="s">
        <v>22</v>
      </c>
      <c r="D18" s="17"/>
      <c r="E18" s="17"/>
      <c r="F18" s="17"/>
    </row>
    <row r="19" spans="1:6" ht="23.25" customHeight="1" x14ac:dyDescent="0.2">
      <c r="A19" s="16" t="s">
        <v>83</v>
      </c>
      <c r="B19" s="17" t="s">
        <v>44</v>
      </c>
      <c r="C19" s="17" t="s">
        <v>84</v>
      </c>
      <c r="D19" s="17"/>
      <c r="E19" s="17"/>
      <c r="F19" s="17"/>
    </row>
    <row r="20" spans="1:6" ht="15" customHeight="1" x14ac:dyDescent="0.2">
      <c r="A20" s="12" t="s">
        <v>85</v>
      </c>
      <c r="B20" s="12"/>
      <c r="C20" s="12"/>
      <c r="D20" s="12"/>
      <c r="E20" s="12"/>
      <c r="F20" s="12"/>
    </row>
    <row r="21" spans="1:6" ht="15" customHeight="1" x14ac:dyDescent="0.2">
      <c r="A21" s="16" t="s">
        <v>86</v>
      </c>
      <c r="B21" s="17" t="s">
        <v>44</v>
      </c>
      <c r="C21" s="17" t="s">
        <v>31</v>
      </c>
      <c r="D21" s="17"/>
      <c r="E21" s="17"/>
      <c r="F21" s="17"/>
    </row>
    <row r="22" spans="1:6" ht="15" customHeight="1" x14ac:dyDescent="0.2">
      <c r="A22" s="16" t="s">
        <v>87</v>
      </c>
      <c r="B22" s="17" t="s">
        <v>33</v>
      </c>
      <c r="C22" s="17" t="s">
        <v>55</v>
      </c>
      <c r="D22" s="17"/>
      <c r="E22" s="17"/>
      <c r="F22" s="17"/>
    </row>
    <row r="23" spans="1:6" ht="15" customHeight="1" x14ac:dyDescent="0.2">
      <c r="A23" s="16" t="s">
        <v>88</v>
      </c>
      <c r="B23" s="17" t="s">
        <v>28</v>
      </c>
      <c r="C23" s="17" t="s">
        <v>22</v>
      </c>
      <c r="D23" s="17"/>
      <c r="E23" s="17"/>
      <c r="F23" s="17"/>
    </row>
    <row r="24" spans="1:6" ht="15" customHeight="1" x14ac:dyDescent="0.2">
      <c r="A24" s="12" t="s">
        <v>89</v>
      </c>
      <c r="B24" s="12"/>
      <c r="C24" s="12"/>
      <c r="D24" s="12"/>
      <c r="E24" s="12"/>
      <c r="F24" s="12"/>
    </row>
    <row r="25" spans="1:6" ht="15" customHeight="1" x14ac:dyDescent="0.2">
      <c r="A25" s="16" t="s">
        <v>90</v>
      </c>
      <c r="B25" s="17" t="s">
        <v>91</v>
      </c>
      <c r="C25" s="17" t="s">
        <v>26</v>
      </c>
      <c r="D25" s="17"/>
      <c r="E25" s="17"/>
      <c r="F25" s="17"/>
    </row>
    <row r="26" spans="1:6" ht="15" customHeight="1" x14ac:dyDescent="0.2">
      <c r="A26" s="16" t="s">
        <v>92</v>
      </c>
      <c r="B26" s="17" t="s">
        <v>28</v>
      </c>
      <c r="C26" s="17" t="s">
        <v>22</v>
      </c>
      <c r="D26" s="17"/>
      <c r="E26" s="17"/>
      <c r="F26" s="17"/>
    </row>
    <row r="27" spans="1:6" ht="15" customHeight="1" x14ac:dyDescent="0.2">
      <c r="A27" s="16" t="s">
        <v>93</v>
      </c>
      <c r="B27" s="17" t="s">
        <v>33</v>
      </c>
      <c r="C27" s="17" t="s">
        <v>55</v>
      </c>
      <c r="D27" s="17"/>
      <c r="E27" s="17"/>
      <c r="F27" s="17"/>
    </row>
    <row r="28" spans="1:6" ht="15" customHeight="1" x14ac:dyDescent="0.2">
      <c r="A28" s="12" t="s">
        <v>57</v>
      </c>
      <c r="B28" s="12"/>
      <c r="C28" s="12"/>
      <c r="D28" s="12"/>
      <c r="E28" s="12"/>
      <c r="F28" s="12"/>
    </row>
    <row r="29" spans="1:6" ht="15" customHeight="1" x14ac:dyDescent="0.2">
      <c r="A29" s="16" t="s">
        <v>58</v>
      </c>
      <c r="B29" s="17" t="s">
        <v>59</v>
      </c>
      <c r="C29" s="17" t="s">
        <v>22</v>
      </c>
      <c r="D29" s="17"/>
      <c r="E29" s="17"/>
      <c r="F29" s="17"/>
    </row>
    <row r="30" spans="1:6" ht="15" customHeight="1" x14ac:dyDescent="0.2">
      <c r="A30" s="16" t="s">
        <v>94</v>
      </c>
      <c r="B30" s="17" t="s">
        <v>61</v>
      </c>
      <c r="C30" s="17" t="s">
        <v>95</v>
      </c>
      <c r="D30" s="17"/>
      <c r="E30" s="17"/>
      <c r="F30" s="17"/>
    </row>
  </sheetData>
  <mergeCells count="7">
    <mergeCell ref="A24:F24"/>
    <mergeCell ref="A28:F28"/>
    <mergeCell ref="A1:F1"/>
    <mergeCell ref="A5:F5"/>
    <mergeCell ref="A10:F10"/>
    <mergeCell ref="A15:F15"/>
    <mergeCell ref="A20:F2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zoomScaleNormal="100" workbookViewId="0">
      <selection sqref="A1:F1"/>
    </sheetView>
  </sheetViews>
  <sheetFormatPr baseColWidth="10" defaultColWidth="8.6640625" defaultRowHeight="15" x14ac:dyDescent="0.2"/>
  <cols>
    <col min="1" max="1" width="44" customWidth="1"/>
    <col min="2" max="2" width="22" customWidth="1"/>
    <col min="3" max="3" width="14" customWidth="1"/>
    <col min="4" max="4" width="12" customWidth="1"/>
    <col min="5" max="5" width="14" customWidth="1"/>
    <col min="6" max="6" width="30" customWidth="1"/>
  </cols>
  <sheetData>
    <row r="1" spans="1:6" ht="24" customHeight="1" x14ac:dyDescent="0.2">
      <c r="A1" s="13" t="s">
        <v>96</v>
      </c>
      <c r="B1" s="13"/>
      <c r="C1" s="13"/>
      <c r="D1" s="13"/>
      <c r="E1" s="13"/>
      <c r="F1" s="13"/>
    </row>
    <row r="2" spans="1:6" ht="15" customHeight="1" x14ac:dyDescent="0.2">
      <c r="A2" s="14" t="s">
        <v>1</v>
      </c>
      <c r="C2" s="14" t="s">
        <v>65</v>
      </c>
      <c r="E2" s="14" t="s">
        <v>3</v>
      </c>
    </row>
    <row r="4" spans="1:6" ht="15" customHeight="1" x14ac:dyDescent="0.2">
      <c r="A4" s="15" t="s">
        <v>4</v>
      </c>
      <c r="B4" s="15" t="s">
        <v>5</v>
      </c>
      <c r="C4" s="15" t="s">
        <v>6</v>
      </c>
      <c r="D4" s="15" t="s">
        <v>7</v>
      </c>
      <c r="E4" s="15" t="s">
        <v>8</v>
      </c>
      <c r="F4" s="15" t="s">
        <v>9</v>
      </c>
    </row>
    <row r="5" spans="1:6" ht="15" customHeight="1" x14ac:dyDescent="0.2">
      <c r="A5" s="12" t="s">
        <v>97</v>
      </c>
      <c r="B5" s="12"/>
      <c r="C5" s="12"/>
      <c r="D5" s="12"/>
      <c r="E5" s="12"/>
      <c r="F5" s="12"/>
    </row>
    <row r="6" spans="1:6" ht="15" customHeight="1" x14ac:dyDescent="0.2">
      <c r="A6" s="16" t="s">
        <v>98</v>
      </c>
      <c r="B6" s="17" t="s">
        <v>68</v>
      </c>
      <c r="C6" s="17" t="s">
        <v>19</v>
      </c>
      <c r="D6" s="17"/>
      <c r="E6" s="17"/>
      <c r="F6" s="17"/>
    </row>
    <row r="7" spans="1:6" ht="15" customHeight="1" x14ac:dyDescent="0.2">
      <c r="A7" s="16" t="s">
        <v>99</v>
      </c>
      <c r="B7" s="17" t="s">
        <v>28</v>
      </c>
      <c r="C7" s="17" t="s">
        <v>22</v>
      </c>
      <c r="D7" s="17"/>
      <c r="E7" s="17"/>
      <c r="F7" s="17"/>
    </row>
    <row r="8" spans="1:6" ht="15" customHeight="1" x14ac:dyDescent="0.2">
      <c r="A8" s="16" t="s">
        <v>100</v>
      </c>
      <c r="B8" s="17" t="s">
        <v>28</v>
      </c>
      <c r="C8" s="17" t="s">
        <v>22</v>
      </c>
      <c r="D8" s="17"/>
      <c r="E8" s="17"/>
      <c r="F8" s="17"/>
    </row>
    <row r="9" spans="1:6" ht="15" customHeight="1" x14ac:dyDescent="0.2">
      <c r="A9" s="16" t="s">
        <v>101</v>
      </c>
      <c r="B9" s="17" t="s">
        <v>28</v>
      </c>
      <c r="C9" s="17" t="s">
        <v>22</v>
      </c>
      <c r="D9" s="17"/>
      <c r="E9" s="17"/>
      <c r="F9" s="17"/>
    </row>
    <row r="10" spans="1:6" ht="15" customHeight="1" x14ac:dyDescent="0.2">
      <c r="A10" s="16" t="s">
        <v>102</v>
      </c>
      <c r="B10" s="17" t="s">
        <v>44</v>
      </c>
      <c r="C10" s="17" t="s">
        <v>13</v>
      </c>
      <c r="D10" s="17"/>
      <c r="E10" s="17"/>
      <c r="F10" s="17"/>
    </row>
    <row r="11" spans="1:6" ht="15" customHeight="1" x14ac:dyDescent="0.2">
      <c r="A11" s="12" t="s">
        <v>103</v>
      </c>
      <c r="B11" s="12"/>
      <c r="C11" s="12"/>
      <c r="D11" s="12"/>
      <c r="E11" s="12"/>
      <c r="F11" s="12"/>
    </row>
    <row r="12" spans="1:6" ht="15" customHeight="1" x14ac:dyDescent="0.2">
      <c r="A12" s="16" t="s">
        <v>104</v>
      </c>
      <c r="B12" s="17" t="s">
        <v>12</v>
      </c>
      <c r="C12" s="17" t="s">
        <v>19</v>
      </c>
      <c r="D12" s="17"/>
      <c r="E12" s="17"/>
      <c r="F12" s="17"/>
    </row>
    <row r="13" spans="1:6" ht="15" customHeight="1" x14ac:dyDescent="0.2">
      <c r="A13" s="16" t="s">
        <v>105</v>
      </c>
      <c r="B13" s="17" t="s">
        <v>28</v>
      </c>
      <c r="C13" s="17" t="s">
        <v>22</v>
      </c>
      <c r="D13" s="17"/>
      <c r="E13" s="17"/>
      <c r="F13" s="17"/>
    </row>
    <row r="14" spans="1:6" ht="15" customHeight="1" x14ac:dyDescent="0.2">
      <c r="A14" s="16" t="s">
        <v>106</v>
      </c>
      <c r="B14" s="17" t="s">
        <v>28</v>
      </c>
      <c r="C14" s="17" t="s">
        <v>22</v>
      </c>
      <c r="D14" s="17"/>
      <c r="E14" s="17"/>
      <c r="F14" s="17"/>
    </row>
    <row r="15" spans="1:6" ht="15" customHeight="1" x14ac:dyDescent="0.2">
      <c r="A15" s="12" t="s">
        <v>107</v>
      </c>
      <c r="B15" s="12"/>
      <c r="C15" s="12"/>
      <c r="D15" s="12"/>
      <c r="E15" s="12"/>
      <c r="F15" s="12"/>
    </row>
    <row r="16" spans="1:6" ht="15" customHeight="1" x14ac:dyDescent="0.2">
      <c r="A16" s="16" t="s">
        <v>108</v>
      </c>
      <c r="B16" s="17" t="s">
        <v>28</v>
      </c>
      <c r="C16" s="17" t="s">
        <v>22</v>
      </c>
      <c r="D16" s="17"/>
      <c r="E16" s="17"/>
      <c r="F16" s="17"/>
    </row>
    <row r="17" spans="1:6" ht="15" customHeight="1" x14ac:dyDescent="0.2">
      <c r="A17" s="16" t="s">
        <v>109</v>
      </c>
      <c r="B17" s="17" t="s">
        <v>44</v>
      </c>
      <c r="C17" s="17" t="s">
        <v>31</v>
      </c>
      <c r="D17" s="17"/>
      <c r="E17" s="17"/>
      <c r="F17" s="17"/>
    </row>
    <row r="18" spans="1:6" ht="23.25" customHeight="1" x14ac:dyDescent="0.2">
      <c r="A18" s="16" t="s">
        <v>110</v>
      </c>
      <c r="B18" s="17" t="s">
        <v>44</v>
      </c>
      <c r="C18" s="17" t="s">
        <v>84</v>
      </c>
      <c r="D18" s="17"/>
      <c r="E18" s="17"/>
      <c r="F18" s="17"/>
    </row>
    <row r="19" spans="1:6" ht="15" customHeight="1" x14ac:dyDescent="0.2">
      <c r="A19" s="12" t="s">
        <v>111</v>
      </c>
      <c r="B19" s="12"/>
      <c r="C19" s="12"/>
      <c r="D19" s="12"/>
      <c r="E19" s="12"/>
      <c r="F19" s="12"/>
    </row>
    <row r="20" spans="1:6" ht="15" customHeight="1" x14ac:dyDescent="0.2">
      <c r="A20" s="16" t="s">
        <v>112</v>
      </c>
      <c r="B20" s="17" t="s">
        <v>44</v>
      </c>
      <c r="C20" s="17" t="s">
        <v>31</v>
      </c>
      <c r="D20" s="17"/>
      <c r="E20" s="17"/>
      <c r="F20" s="17"/>
    </row>
    <row r="21" spans="1:6" ht="15" customHeight="1" x14ac:dyDescent="0.2">
      <c r="A21" s="16" t="s">
        <v>87</v>
      </c>
      <c r="B21" s="17" t="s">
        <v>33</v>
      </c>
      <c r="C21" s="17" t="s">
        <v>55</v>
      </c>
      <c r="D21" s="17"/>
      <c r="E21" s="17"/>
      <c r="F21" s="17"/>
    </row>
    <row r="22" spans="1:6" ht="15" customHeight="1" x14ac:dyDescent="0.2">
      <c r="A22" s="16" t="s">
        <v>113</v>
      </c>
      <c r="B22" s="17" t="s">
        <v>28</v>
      </c>
      <c r="C22" s="17" t="s">
        <v>22</v>
      </c>
      <c r="D22" s="17"/>
      <c r="E22" s="17"/>
      <c r="F22" s="17"/>
    </row>
    <row r="23" spans="1:6" ht="15" customHeight="1" x14ac:dyDescent="0.2">
      <c r="A23" s="16" t="s">
        <v>114</v>
      </c>
      <c r="B23" s="17" t="s">
        <v>28</v>
      </c>
      <c r="C23" s="17" t="s">
        <v>22</v>
      </c>
      <c r="D23" s="17"/>
      <c r="E23" s="17"/>
      <c r="F23" s="17"/>
    </row>
    <row r="24" spans="1:6" ht="15" customHeight="1" x14ac:dyDescent="0.2">
      <c r="A24" s="12" t="s">
        <v>89</v>
      </c>
      <c r="B24" s="12"/>
      <c r="C24" s="12"/>
      <c r="D24" s="12"/>
      <c r="E24" s="12"/>
      <c r="F24" s="12"/>
    </row>
    <row r="25" spans="1:6" ht="15" customHeight="1" x14ac:dyDescent="0.2">
      <c r="A25" s="16" t="s">
        <v>115</v>
      </c>
      <c r="B25" s="17" t="s">
        <v>91</v>
      </c>
      <c r="C25" s="17" t="s">
        <v>26</v>
      </c>
      <c r="D25" s="17"/>
      <c r="E25" s="17"/>
      <c r="F25" s="17"/>
    </row>
    <row r="26" spans="1:6" ht="15" customHeight="1" x14ac:dyDescent="0.2">
      <c r="A26" s="16" t="s">
        <v>116</v>
      </c>
      <c r="B26" s="17" t="s">
        <v>33</v>
      </c>
      <c r="C26" s="17" t="s">
        <v>55</v>
      </c>
      <c r="D26" s="17"/>
      <c r="E26" s="17"/>
      <c r="F26" s="17"/>
    </row>
    <row r="27" spans="1:6" ht="15" customHeight="1" x14ac:dyDescent="0.2">
      <c r="A27" s="16" t="s">
        <v>117</v>
      </c>
      <c r="B27" s="17" t="s">
        <v>28</v>
      </c>
      <c r="C27" s="17" t="s">
        <v>22</v>
      </c>
      <c r="D27" s="17"/>
      <c r="E27" s="17"/>
      <c r="F27" s="17"/>
    </row>
    <row r="28" spans="1:6" ht="15" customHeight="1" x14ac:dyDescent="0.2">
      <c r="A28" s="12" t="s">
        <v>57</v>
      </c>
      <c r="B28" s="12"/>
      <c r="C28" s="12"/>
      <c r="D28" s="12"/>
      <c r="E28" s="12"/>
      <c r="F28" s="12"/>
    </row>
    <row r="29" spans="1:6" ht="15" customHeight="1" x14ac:dyDescent="0.2">
      <c r="A29" s="16" t="s">
        <v>58</v>
      </c>
      <c r="B29" s="17" t="s">
        <v>59</v>
      </c>
      <c r="C29" s="17" t="s">
        <v>22</v>
      </c>
      <c r="D29" s="17"/>
      <c r="E29" s="17"/>
      <c r="F29" s="17"/>
    </row>
    <row r="30" spans="1:6" ht="15" customHeight="1" x14ac:dyDescent="0.2">
      <c r="A30" s="16" t="s">
        <v>118</v>
      </c>
      <c r="B30" s="17" t="s">
        <v>61</v>
      </c>
      <c r="C30" s="17" t="s">
        <v>119</v>
      </c>
      <c r="D30" s="17"/>
      <c r="E30" s="17"/>
      <c r="F30" s="17"/>
    </row>
    <row r="31" spans="1:6" ht="15" customHeight="1" x14ac:dyDescent="0.2">
      <c r="A31" s="16" t="s">
        <v>120</v>
      </c>
      <c r="B31" s="17" t="s">
        <v>28</v>
      </c>
      <c r="C31" s="17" t="s">
        <v>22</v>
      </c>
      <c r="D31" s="17"/>
      <c r="E31" s="17"/>
      <c r="F31" s="17"/>
    </row>
  </sheetData>
  <mergeCells count="7">
    <mergeCell ref="A24:F24"/>
    <mergeCell ref="A28:F28"/>
    <mergeCell ref="A1:F1"/>
    <mergeCell ref="A5:F5"/>
    <mergeCell ref="A11:F11"/>
    <mergeCell ref="A15:F15"/>
    <mergeCell ref="A19:F1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2"/>
  <sheetViews>
    <sheetView zoomScaleNormal="100" workbookViewId="0">
      <pane ySplit="3" topLeftCell="A4" activePane="bottomLeft" state="frozen"/>
      <selection pane="bottomLeft" sqref="A1:H1"/>
    </sheetView>
  </sheetViews>
  <sheetFormatPr baseColWidth="10" defaultColWidth="8.6640625" defaultRowHeight="15" x14ac:dyDescent="0.2"/>
  <cols>
    <col min="1" max="1" width="18" customWidth="1"/>
    <col min="2" max="2" width="36" customWidth="1"/>
    <col min="3" max="3" width="40" customWidth="1"/>
    <col min="4" max="4" width="10" customWidth="1"/>
    <col min="5" max="7" width="14" customWidth="1"/>
    <col min="8" max="8" width="18" customWidth="1"/>
  </cols>
  <sheetData>
    <row r="1" spans="1:8" ht="24" customHeight="1" x14ac:dyDescent="0.2">
      <c r="A1" s="13" t="s">
        <v>121</v>
      </c>
      <c r="B1" s="13"/>
      <c r="C1" s="13"/>
      <c r="D1" s="13"/>
      <c r="E1" s="13"/>
      <c r="F1" s="13"/>
      <c r="G1" s="13"/>
      <c r="H1" s="13"/>
    </row>
    <row r="3" spans="1:8" ht="26.25" customHeight="1" x14ac:dyDescent="0.2">
      <c r="A3" s="15" t="s">
        <v>122</v>
      </c>
      <c r="B3" s="15" t="s">
        <v>123</v>
      </c>
      <c r="C3" s="15" t="s">
        <v>124</v>
      </c>
      <c r="D3" s="15" t="s">
        <v>125</v>
      </c>
      <c r="E3" s="15" t="s">
        <v>126</v>
      </c>
      <c r="F3" s="15" t="s">
        <v>127</v>
      </c>
      <c r="G3" s="15" t="s">
        <v>128</v>
      </c>
      <c r="H3" s="15" t="s">
        <v>129</v>
      </c>
    </row>
    <row r="4" spans="1:8" ht="15" customHeight="1" x14ac:dyDescent="0.2">
      <c r="A4" s="16" t="s">
        <v>130</v>
      </c>
      <c r="B4" s="16" t="s">
        <v>131</v>
      </c>
      <c r="C4" s="16" t="s">
        <v>132</v>
      </c>
      <c r="D4" s="17" t="s">
        <v>44</v>
      </c>
      <c r="E4" s="18" t="s">
        <v>133</v>
      </c>
      <c r="F4" s="19" t="s">
        <v>134</v>
      </c>
      <c r="G4" s="20" t="s">
        <v>13</v>
      </c>
      <c r="H4" s="17">
        <v>92</v>
      </c>
    </row>
    <row r="5" spans="1:8" ht="15" customHeight="1" x14ac:dyDescent="0.2">
      <c r="A5" s="16" t="s">
        <v>130</v>
      </c>
      <c r="B5" s="16" t="s">
        <v>135</v>
      </c>
      <c r="C5" s="16" t="s">
        <v>136</v>
      </c>
      <c r="D5" s="17" t="s">
        <v>44</v>
      </c>
      <c r="E5" s="18" t="s">
        <v>137</v>
      </c>
      <c r="F5" s="19" t="s">
        <v>138</v>
      </c>
      <c r="G5" s="20" t="s">
        <v>16</v>
      </c>
      <c r="H5" s="17">
        <v>8</v>
      </c>
    </row>
    <row r="6" spans="1:8" ht="15" customHeight="1" x14ac:dyDescent="0.2">
      <c r="A6" s="16" t="s">
        <v>130</v>
      </c>
      <c r="B6" s="16" t="s">
        <v>139</v>
      </c>
      <c r="C6" s="16" t="s">
        <v>140</v>
      </c>
      <c r="D6" s="17" t="s">
        <v>44</v>
      </c>
      <c r="E6" s="18" t="s">
        <v>141</v>
      </c>
      <c r="F6" s="19" t="s">
        <v>142</v>
      </c>
      <c r="G6" s="20" t="s">
        <v>26</v>
      </c>
      <c r="H6" s="17">
        <v>74</v>
      </c>
    </row>
    <row r="7" spans="1:8" ht="15" customHeight="1" x14ac:dyDescent="0.2">
      <c r="A7" s="16" t="s">
        <v>130</v>
      </c>
      <c r="B7" s="16" t="s">
        <v>143</v>
      </c>
      <c r="C7" s="16" t="s">
        <v>144</v>
      </c>
      <c r="D7" s="17" t="s">
        <v>44</v>
      </c>
      <c r="E7" s="18" t="s">
        <v>145</v>
      </c>
      <c r="F7" s="19" t="s">
        <v>146</v>
      </c>
      <c r="G7" s="20" t="s">
        <v>147</v>
      </c>
      <c r="H7" s="17">
        <v>82</v>
      </c>
    </row>
    <row r="8" spans="1:8" ht="15" customHeight="1" x14ac:dyDescent="0.2">
      <c r="A8" s="16" t="s">
        <v>130</v>
      </c>
      <c r="B8" s="16" t="s">
        <v>148</v>
      </c>
      <c r="C8" s="16" t="s">
        <v>149</v>
      </c>
      <c r="D8" s="17" t="s">
        <v>44</v>
      </c>
      <c r="E8" s="18" t="s">
        <v>141</v>
      </c>
      <c r="F8" s="19" t="s">
        <v>142</v>
      </c>
      <c r="G8" s="20" t="s">
        <v>26</v>
      </c>
      <c r="H8" s="17">
        <v>65</v>
      </c>
    </row>
    <row r="9" spans="1:8" ht="15" customHeight="1" x14ac:dyDescent="0.2">
      <c r="A9" s="16" t="s">
        <v>150</v>
      </c>
      <c r="B9" s="16" t="s">
        <v>151</v>
      </c>
      <c r="C9" s="16" t="s">
        <v>152</v>
      </c>
      <c r="D9" s="17" t="s">
        <v>44</v>
      </c>
      <c r="E9" s="18" t="s">
        <v>153</v>
      </c>
      <c r="F9" s="19" t="s">
        <v>154</v>
      </c>
      <c r="G9" s="20" t="s">
        <v>42</v>
      </c>
      <c r="H9" s="17">
        <v>28</v>
      </c>
    </row>
    <row r="10" spans="1:8" ht="15" customHeight="1" x14ac:dyDescent="0.2">
      <c r="A10" s="16" t="s">
        <v>150</v>
      </c>
      <c r="B10" s="16" t="s">
        <v>43</v>
      </c>
      <c r="C10" s="16" t="s">
        <v>155</v>
      </c>
      <c r="D10" s="17" t="s">
        <v>44</v>
      </c>
      <c r="E10" s="18" t="s">
        <v>156</v>
      </c>
      <c r="F10" s="19" t="s">
        <v>157</v>
      </c>
      <c r="G10" s="20" t="s">
        <v>31</v>
      </c>
      <c r="H10" s="17">
        <v>88</v>
      </c>
    </row>
    <row r="11" spans="1:8" ht="15" customHeight="1" x14ac:dyDescent="0.2">
      <c r="A11" s="16" t="s">
        <v>150</v>
      </c>
      <c r="B11" s="16" t="s">
        <v>158</v>
      </c>
      <c r="C11" s="16" t="s">
        <v>159</v>
      </c>
      <c r="D11" s="17" t="s">
        <v>44</v>
      </c>
      <c r="E11" s="18" t="s">
        <v>160</v>
      </c>
      <c r="F11" s="19" t="s">
        <v>161</v>
      </c>
      <c r="G11" s="20" t="s">
        <v>162</v>
      </c>
      <c r="H11" s="17">
        <v>55</v>
      </c>
    </row>
    <row r="12" spans="1:8" ht="15" customHeight="1" x14ac:dyDescent="0.2">
      <c r="A12" s="16" t="s">
        <v>150</v>
      </c>
      <c r="B12" s="16" t="s">
        <v>163</v>
      </c>
      <c r="C12" s="16" t="s">
        <v>164</v>
      </c>
      <c r="D12" s="17" t="s">
        <v>44</v>
      </c>
      <c r="E12" s="18" t="s">
        <v>145</v>
      </c>
      <c r="F12" s="19" t="s">
        <v>165</v>
      </c>
      <c r="G12" s="20" t="s">
        <v>31</v>
      </c>
      <c r="H12" s="17">
        <v>85</v>
      </c>
    </row>
    <row r="13" spans="1:8" ht="15" customHeight="1" x14ac:dyDescent="0.2">
      <c r="A13" s="16" t="s">
        <v>166</v>
      </c>
      <c r="B13" s="16" t="s">
        <v>167</v>
      </c>
      <c r="C13" s="16" t="s">
        <v>168</v>
      </c>
      <c r="D13" s="17" t="s">
        <v>44</v>
      </c>
      <c r="E13" s="18" t="s">
        <v>141</v>
      </c>
      <c r="F13" s="19" t="s">
        <v>142</v>
      </c>
      <c r="G13" s="20" t="s">
        <v>26</v>
      </c>
      <c r="H13" s="17">
        <v>78</v>
      </c>
    </row>
    <row r="14" spans="1:8" ht="15" customHeight="1" x14ac:dyDescent="0.2">
      <c r="A14" s="16" t="s">
        <v>166</v>
      </c>
      <c r="B14" s="16" t="s">
        <v>169</v>
      </c>
      <c r="C14" s="16" t="s">
        <v>170</v>
      </c>
      <c r="D14" s="17" t="s">
        <v>44</v>
      </c>
      <c r="E14" s="18" t="s">
        <v>160</v>
      </c>
      <c r="F14" s="19" t="s">
        <v>161</v>
      </c>
      <c r="G14" s="20" t="s">
        <v>162</v>
      </c>
      <c r="H14" s="17">
        <v>50</v>
      </c>
    </row>
    <row r="15" spans="1:8" ht="15" customHeight="1" x14ac:dyDescent="0.2">
      <c r="A15" s="16" t="s">
        <v>166</v>
      </c>
      <c r="B15" s="16" t="s">
        <v>171</v>
      </c>
      <c r="C15" s="16" t="s">
        <v>172</v>
      </c>
      <c r="D15" s="17" t="s">
        <v>44</v>
      </c>
      <c r="E15" s="18" t="s">
        <v>156</v>
      </c>
      <c r="F15" s="19" t="s">
        <v>157</v>
      </c>
      <c r="G15" s="20" t="s">
        <v>31</v>
      </c>
      <c r="H15" s="17">
        <v>92</v>
      </c>
    </row>
    <row r="16" spans="1:8" ht="15" customHeight="1" x14ac:dyDescent="0.2">
      <c r="A16" s="16" t="s">
        <v>166</v>
      </c>
      <c r="B16" s="16" t="s">
        <v>173</v>
      </c>
      <c r="C16" s="16" t="s">
        <v>174</v>
      </c>
      <c r="D16" s="17" t="s">
        <v>28</v>
      </c>
      <c r="E16" s="18" t="s">
        <v>175</v>
      </c>
      <c r="F16" s="19" t="s">
        <v>176</v>
      </c>
      <c r="G16" s="20" t="s">
        <v>22</v>
      </c>
      <c r="H16" s="17" t="s">
        <v>22</v>
      </c>
    </row>
    <row r="17" spans="1:8" ht="15" customHeight="1" x14ac:dyDescent="0.2">
      <c r="A17" s="16" t="s">
        <v>177</v>
      </c>
      <c r="B17" s="16" t="s">
        <v>178</v>
      </c>
      <c r="C17" s="16" t="s">
        <v>179</v>
      </c>
      <c r="D17" s="17" t="s">
        <v>44</v>
      </c>
      <c r="E17" s="18" t="s">
        <v>133</v>
      </c>
      <c r="F17" s="19" t="s">
        <v>134</v>
      </c>
      <c r="G17" s="20" t="s">
        <v>13</v>
      </c>
      <c r="H17" s="17">
        <v>93</v>
      </c>
    </row>
    <row r="18" spans="1:8" ht="15" customHeight="1" x14ac:dyDescent="0.2">
      <c r="A18" s="16" t="s">
        <v>177</v>
      </c>
      <c r="B18" s="16" t="s">
        <v>180</v>
      </c>
      <c r="C18" s="16" t="s">
        <v>181</v>
      </c>
      <c r="D18" s="17" t="s">
        <v>44</v>
      </c>
      <c r="E18" s="18" t="s">
        <v>182</v>
      </c>
      <c r="F18" s="19" t="s">
        <v>183</v>
      </c>
      <c r="G18" s="20" t="s">
        <v>19</v>
      </c>
      <c r="H18" s="17">
        <v>98</v>
      </c>
    </row>
    <row r="19" spans="1:8" ht="15" customHeight="1" x14ac:dyDescent="0.2">
      <c r="A19" s="16" t="s">
        <v>177</v>
      </c>
      <c r="B19" s="16" t="s">
        <v>184</v>
      </c>
      <c r="C19" s="16" t="s">
        <v>185</v>
      </c>
      <c r="D19" s="17" t="s">
        <v>44</v>
      </c>
      <c r="E19" s="18" t="s">
        <v>182</v>
      </c>
      <c r="F19" s="19" t="s">
        <v>186</v>
      </c>
      <c r="G19" s="20" t="s">
        <v>13</v>
      </c>
      <c r="H19" s="17">
        <v>90</v>
      </c>
    </row>
    <row r="20" spans="1:8" ht="15" customHeight="1" x14ac:dyDescent="0.2">
      <c r="A20" s="16" t="s">
        <v>187</v>
      </c>
      <c r="B20" s="16" t="s">
        <v>188</v>
      </c>
      <c r="C20" s="16" t="s">
        <v>189</v>
      </c>
      <c r="D20" s="17" t="s">
        <v>44</v>
      </c>
      <c r="E20" s="18" t="s">
        <v>145</v>
      </c>
      <c r="F20" s="19" t="s">
        <v>165</v>
      </c>
      <c r="G20" s="20" t="s">
        <v>31</v>
      </c>
      <c r="H20" s="17">
        <v>80</v>
      </c>
    </row>
    <row r="21" spans="1:8" ht="15" customHeight="1" x14ac:dyDescent="0.2">
      <c r="A21" s="16" t="s">
        <v>187</v>
      </c>
      <c r="B21" s="16" t="s">
        <v>87</v>
      </c>
      <c r="C21" s="16" t="s">
        <v>190</v>
      </c>
      <c r="D21" s="17" t="s">
        <v>191</v>
      </c>
      <c r="E21" s="18" t="s">
        <v>192</v>
      </c>
      <c r="F21" s="19" t="s">
        <v>193</v>
      </c>
      <c r="G21" s="20" t="s">
        <v>55</v>
      </c>
      <c r="H21" s="17">
        <v>4.2</v>
      </c>
    </row>
    <row r="22" spans="1:8" ht="15" customHeight="1" x14ac:dyDescent="0.2">
      <c r="A22" s="16" t="s">
        <v>187</v>
      </c>
      <c r="B22" s="16" t="s">
        <v>56</v>
      </c>
      <c r="C22" s="16" t="s">
        <v>194</v>
      </c>
      <c r="D22" s="17" t="s">
        <v>44</v>
      </c>
      <c r="E22" s="18" t="s">
        <v>195</v>
      </c>
      <c r="F22" s="19" t="s">
        <v>196</v>
      </c>
      <c r="G22" s="20" t="s">
        <v>13</v>
      </c>
      <c r="H22" s="17">
        <v>90</v>
      </c>
    </row>
    <row r="23" spans="1:8" ht="15" customHeight="1" x14ac:dyDescent="0.2">
      <c r="A23" s="16" t="s">
        <v>197</v>
      </c>
      <c r="B23" s="16" t="s">
        <v>198</v>
      </c>
      <c r="C23" s="16" t="s">
        <v>199</v>
      </c>
      <c r="D23" s="17" t="s">
        <v>44</v>
      </c>
      <c r="E23" s="18" t="s">
        <v>195</v>
      </c>
      <c r="F23" s="19" t="s">
        <v>200</v>
      </c>
      <c r="G23" s="20" t="s">
        <v>19</v>
      </c>
      <c r="H23" s="17">
        <v>100</v>
      </c>
    </row>
    <row r="24" spans="1:8" ht="15" customHeight="1" x14ac:dyDescent="0.2">
      <c r="A24" s="16" t="s">
        <v>197</v>
      </c>
      <c r="B24" s="16" t="s">
        <v>201</v>
      </c>
      <c r="C24" s="16" t="s">
        <v>202</v>
      </c>
      <c r="D24" s="17" t="s">
        <v>28</v>
      </c>
      <c r="E24" s="18" t="s">
        <v>175</v>
      </c>
      <c r="F24" s="19" t="s">
        <v>176</v>
      </c>
      <c r="G24" s="20" t="s">
        <v>22</v>
      </c>
      <c r="H24" s="17" t="s">
        <v>22</v>
      </c>
    </row>
    <row r="25" spans="1:8" ht="15" customHeight="1" x14ac:dyDescent="0.2">
      <c r="A25" s="16" t="s">
        <v>197</v>
      </c>
      <c r="B25" s="16" t="s">
        <v>203</v>
      </c>
      <c r="C25" s="16" t="s">
        <v>204</v>
      </c>
      <c r="D25" s="17" t="s">
        <v>44</v>
      </c>
      <c r="E25" s="18" t="s">
        <v>205</v>
      </c>
      <c r="F25" s="19" t="s">
        <v>206</v>
      </c>
      <c r="G25" s="20" t="s">
        <v>26</v>
      </c>
      <c r="H25" s="17">
        <v>70</v>
      </c>
    </row>
    <row r="26" spans="1:8" ht="15" customHeight="1" x14ac:dyDescent="0.2">
      <c r="A26" s="16" t="s">
        <v>197</v>
      </c>
      <c r="B26" s="16" t="s">
        <v>207</v>
      </c>
      <c r="C26" s="16" t="s">
        <v>208</v>
      </c>
      <c r="D26" s="17" t="s">
        <v>44</v>
      </c>
      <c r="E26" s="18" t="s">
        <v>141</v>
      </c>
      <c r="F26" s="19" t="s">
        <v>142</v>
      </c>
      <c r="G26" s="20" t="s">
        <v>26</v>
      </c>
      <c r="H26" s="17">
        <v>72</v>
      </c>
    </row>
    <row r="27" spans="1:8" ht="23.25" customHeight="1" x14ac:dyDescent="0.2">
      <c r="A27" s="16" t="s">
        <v>197</v>
      </c>
      <c r="B27" s="16" t="s">
        <v>209</v>
      </c>
      <c r="C27" s="16" t="s">
        <v>210</v>
      </c>
      <c r="D27" s="17" t="s">
        <v>44</v>
      </c>
      <c r="E27" s="18" t="s">
        <v>195</v>
      </c>
      <c r="F27" s="19" t="s">
        <v>196</v>
      </c>
      <c r="G27" s="20" t="s">
        <v>13</v>
      </c>
      <c r="H27" s="17">
        <v>88</v>
      </c>
    </row>
    <row r="28" spans="1:8" ht="15" customHeight="1" x14ac:dyDescent="0.2">
      <c r="A28" s="16" t="s">
        <v>211</v>
      </c>
      <c r="B28" s="16" t="s">
        <v>59</v>
      </c>
      <c r="C28" s="16" t="s">
        <v>212</v>
      </c>
      <c r="D28" s="17" t="s">
        <v>44</v>
      </c>
      <c r="E28" s="18" t="s">
        <v>182</v>
      </c>
      <c r="F28" s="19" t="s">
        <v>186</v>
      </c>
      <c r="G28" s="20" t="s">
        <v>13</v>
      </c>
      <c r="H28" s="17">
        <v>96</v>
      </c>
    </row>
    <row r="29" spans="1:8" ht="15" customHeight="1" x14ac:dyDescent="0.2">
      <c r="A29" s="16" t="s">
        <v>211</v>
      </c>
      <c r="B29" s="16" t="s">
        <v>213</v>
      </c>
      <c r="C29" s="16" t="s">
        <v>214</v>
      </c>
      <c r="D29" s="17" t="s">
        <v>215</v>
      </c>
      <c r="E29" s="18" t="s">
        <v>216</v>
      </c>
      <c r="F29" s="19" t="s">
        <v>217</v>
      </c>
      <c r="G29" s="20" t="s">
        <v>218</v>
      </c>
      <c r="H29" s="17">
        <v>18</v>
      </c>
    </row>
    <row r="30" spans="1:8" ht="15" customHeight="1" x14ac:dyDescent="0.2">
      <c r="A30" s="16" t="s">
        <v>211</v>
      </c>
      <c r="B30" s="16" t="s">
        <v>219</v>
      </c>
      <c r="C30" s="16" t="s">
        <v>220</v>
      </c>
      <c r="D30" s="17" t="s">
        <v>44</v>
      </c>
      <c r="E30" s="18" t="s">
        <v>205</v>
      </c>
      <c r="F30" s="19" t="s">
        <v>221</v>
      </c>
      <c r="G30" s="20" t="s">
        <v>222</v>
      </c>
      <c r="H30" s="17">
        <v>65</v>
      </c>
    </row>
    <row r="31" spans="1:8" ht="15" customHeight="1" x14ac:dyDescent="0.2">
      <c r="A31" s="16" t="s">
        <v>211</v>
      </c>
      <c r="B31" s="16" t="s">
        <v>223</v>
      </c>
      <c r="C31" s="16" t="s">
        <v>224</v>
      </c>
      <c r="D31" s="17" t="s">
        <v>44</v>
      </c>
      <c r="E31" s="18" t="s">
        <v>133</v>
      </c>
      <c r="F31" s="19" t="s">
        <v>134</v>
      </c>
      <c r="G31" s="20" t="s">
        <v>13</v>
      </c>
      <c r="H31" s="17">
        <v>92</v>
      </c>
    </row>
    <row r="32" spans="1:8" ht="15" customHeight="1" x14ac:dyDescent="0.2">
      <c r="A32" s="16" t="s">
        <v>225</v>
      </c>
      <c r="B32" s="16" t="s">
        <v>226</v>
      </c>
      <c r="C32" s="16" t="s">
        <v>227</v>
      </c>
      <c r="D32" s="17" t="s">
        <v>44</v>
      </c>
      <c r="E32" s="18" t="s">
        <v>145</v>
      </c>
      <c r="F32" s="19" t="s">
        <v>146</v>
      </c>
      <c r="G32" s="20" t="s">
        <v>147</v>
      </c>
      <c r="H32" s="17">
        <v>81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H1"/>
    </sheetView>
  </sheetViews>
  <sheetFormatPr baseColWidth="10" defaultColWidth="8.6640625" defaultRowHeight="15" x14ac:dyDescent="0.2"/>
  <cols>
    <col min="1" max="1" width="16" customWidth="1"/>
    <col min="2" max="2" width="40" customWidth="1"/>
    <col min="3" max="3" width="14" customWidth="1"/>
    <col min="4" max="4" width="16" customWidth="1"/>
    <col min="5" max="7" width="14" customWidth="1"/>
    <col min="8" max="8" width="34" customWidth="1"/>
  </cols>
  <sheetData>
    <row r="1" spans="1:8" ht="24" customHeight="1" x14ac:dyDescent="0.2">
      <c r="A1" s="13" t="s">
        <v>228</v>
      </c>
      <c r="B1" s="13"/>
      <c r="C1" s="13"/>
      <c r="D1" s="13"/>
      <c r="E1" s="13"/>
      <c r="F1" s="13"/>
      <c r="G1" s="13"/>
      <c r="H1" s="13"/>
    </row>
    <row r="2" spans="1:8" x14ac:dyDescent="0.2">
      <c r="A2" s="10" t="s">
        <v>229</v>
      </c>
      <c r="B2" s="10"/>
      <c r="C2" s="10"/>
      <c r="D2" s="10"/>
      <c r="E2" s="10"/>
      <c r="F2" s="10"/>
      <c r="G2" s="10"/>
      <c r="H2" s="10"/>
    </row>
    <row r="4" spans="1:8" ht="42" customHeight="1" x14ac:dyDescent="0.2">
      <c r="A4" s="15" t="s">
        <v>122</v>
      </c>
      <c r="B4" s="15" t="s">
        <v>123</v>
      </c>
      <c r="C4" s="15" t="s">
        <v>230</v>
      </c>
      <c r="D4" s="15" t="s">
        <v>231</v>
      </c>
      <c r="E4" s="15" t="s">
        <v>232</v>
      </c>
      <c r="F4" s="15" t="s">
        <v>233</v>
      </c>
      <c r="G4" s="15" t="s">
        <v>234</v>
      </c>
      <c r="H4" s="15" t="s">
        <v>235</v>
      </c>
    </row>
    <row r="5" spans="1:8" x14ac:dyDescent="0.2">
      <c r="A5" s="16" t="s">
        <v>130</v>
      </c>
      <c r="B5" s="16" t="s">
        <v>131</v>
      </c>
      <c r="C5" s="19" t="s">
        <v>236</v>
      </c>
      <c r="D5" s="20" t="s">
        <v>237</v>
      </c>
      <c r="E5" s="18" t="s">
        <v>238</v>
      </c>
      <c r="F5" s="18" t="s">
        <v>238</v>
      </c>
      <c r="G5" s="19" t="s">
        <v>236</v>
      </c>
      <c r="H5" s="21" t="s">
        <v>239</v>
      </c>
    </row>
    <row r="6" spans="1:8" x14ac:dyDescent="0.2">
      <c r="A6" s="16" t="s">
        <v>130</v>
      </c>
      <c r="B6" s="16" t="s">
        <v>135</v>
      </c>
      <c r="C6" s="19" t="s">
        <v>236</v>
      </c>
      <c r="D6" s="20" t="s">
        <v>237</v>
      </c>
      <c r="E6" s="18" t="s">
        <v>238</v>
      </c>
      <c r="F6" s="18" t="s">
        <v>238</v>
      </c>
      <c r="G6" s="19" t="s">
        <v>236</v>
      </c>
      <c r="H6" s="21" t="s">
        <v>239</v>
      </c>
    </row>
    <row r="7" spans="1:8" x14ac:dyDescent="0.2">
      <c r="A7" s="16" t="s">
        <v>130</v>
      </c>
      <c r="B7" s="16" t="s">
        <v>139</v>
      </c>
      <c r="C7" s="18" t="s">
        <v>238</v>
      </c>
      <c r="D7" s="20" t="s">
        <v>237</v>
      </c>
      <c r="E7" s="19" t="s">
        <v>236</v>
      </c>
      <c r="F7" s="18" t="s">
        <v>238</v>
      </c>
      <c r="G7" s="18" t="s">
        <v>238</v>
      </c>
      <c r="H7" s="21" t="s">
        <v>240</v>
      </c>
    </row>
    <row r="8" spans="1:8" x14ac:dyDescent="0.2">
      <c r="A8" s="16" t="s">
        <v>130</v>
      </c>
      <c r="B8" s="16" t="s">
        <v>143</v>
      </c>
      <c r="C8" s="18" t="s">
        <v>238</v>
      </c>
      <c r="D8" s="20" t="s">
        <v>237</v>
      </c>
      <c r="E8" s="20" t="s">
        <v>237</v>
      </c>
      <c r="F8" s="18" t="s">
        <v>238</v>
      </c>
      <c r="G8" s="18" t="s">
        <v>238</v>
      </c>
      <c r="H8" s="21" t="s">
        <v>241</v>
      </c>
    </row>
    <row r="9" spans="1:8" x14ac:dyDescent="0.2">
      <c r="A9" s="16" t="s">
        <v>130</v>
      </c>
      <c r="B9" s="16" t="s">
        <v>148</v>
      </c>
      <c r="C9" s="20" t="s">
        <v>237</v>
      </c>
      <c r="D9" s="20" t="s">
        <v>237</v>
      </c>
      <c r="E9" s="18" t="s">
        <v>238</v>
      </c>
      <c r="F9" s="18" t="s">
        <v>238</v>
      </c>
      <c r="G9" s="19" t="s">
        <v>236</v>
      </c>
      <c r="H9" s="21" t="s">
        <v>242</v>
      </c>
    </row>
    <row r="10" spans="1:8" x14ac:dyDescent="0.2">
      <c r="A10" s="16" t="s">
        <v>130</v>
      </c>
      <c r="B10" s="16" t="s">
        <v>243</v>
      </c>
      <c r="C10" s="19" t="s">
        <v>236</v>
      </c>
      <c r="D10" s="18" t="s">
        <v>238</v>
      </c>
      <c r="E10" s="18" t="s">
        <v>238</v>
      </c>
      <c r="F10" s="18" t="s">
        <v>238</v>
      </c>
      <c r="G10" s="20" t="s">
        <v>237</v>
      </c>
      <c r="H10" s="21" t="s">
        <v>244</v>
      </c>
    </row>
    <row r="11" spans="1:8" x14ac:dyDescent="0.2">
      <c r="A11" s="16" t="s">
        <v>150</v>
      </c>
      <c r="B11" s="16" t="s">
        <v>151</v>
      </c>
      <c r="C11" s="20" t="s">
        <v>237</v>
      </c>
      <c r="D11" s="18" t="s">
        <v>238</v>
      </c>
      <c r="E11" s="18" t="s">
        <v>238</v>
      </c>
      <c r="F11" s="18" t="s">
        <v>238</v>
      </c>
      <c r="G11" s="19" t="s">
        <v>236</v>
      </c>
      <c r="H11" s="21" t="s">
        <v>245</v>
      </c>
    </row>
    <row r="12" spans="1:8" x14ac:dyDescent="0.2">
      <c r="A12" s="16" t="s">
        <v>150</v>
      </c>
      <c r="B12" s="16" t="s">
        <v>43</v>
      </c>
      <c r="C12" s="20" t="s">
        <v>237</v>
      </c>
      <c r="D12" s="20" t="s">
        <v>237</v>
      </c>
      <c r="E12" s="18" t="s">
        <v>238</v>
      </c>
      <c r="F12" s="18" t="s">
        <v>238</v>
      </c>
      <c r="G12" s="19" t="s">
        <v>236</v>
      </c>
      <c r="H12" s="21" t="s">
        <v>246</v>
      </c>
    </row>
    <row r="13" spans="1:8" x14ac:dyDescent="0.2">
      <c r="A13" s="16" t="s">
        <v>150</v>
      </c>
      <c r="B13" s="16" t="s">
        <v>158</v>
      </c>
      <c r="C13" s="20" t="s">
        <v>237</v>
      </c>
      <c r="D13" s="18" t="s">
        <v>238</v>
      </c>
      <c r="E13" s="18" t="s">
        <v>238</v>
      </c>
      <c r="F13" s="18" t="s">
        <v>238</v>
      </c>
      <c r="G13" s="19" t="s">
        <v>236</v>
      </c>
      <c r="H13" s="21" t="s">
        <v>245</v>
      </c>
    </row>
    <row r="14" spans="1:8" x14ac:dyDescent="0.2">
      <c r="A14" s="16" t="s">
        <v>150</v>
      </c>
      <c r="B14" s="16" t="s">
        <v>163</v>
      </c>
      <c r="C14" s="20" t="s">
        <v>237</v>
      </c>
      <c r="D14" s="18" t="s">
        <v>238</v>
      </c>
      <c r="E14" s="18" t="s">
        <v>238</v>
      </c>
      <c r="F14" s="18" t="s">
        <v>238</v>
      </c>
      <c r="G14" s="19" t="s">
        <v>236</v>
      </c>
      <c r="H14" s="21" t="s">
        <v>245</v>
      </c>
    </row>
    <row r="15" spans="1:8" x14ac:dyDescent="0.2">
      <c r="A15" s="16" t="s">
        <v>150</v>
      </c>
      <c r="B15" s="16" t="s">
        <v>247</v>
      </c>
      <c r="C15" s="20" t="s">
        <v>237</v>
      </c>
      <c r="D15" s="18" t="s">
        <v>238</v>
      </c>
      <c r="E15" s="18" t="s">
        <v>238</v>
      </c>
      <c r="F15" s="18" t="s">
        <v>238</v>
      </c>
      <c r="G15" s="20" t="s">
        <v>237</v>
      </c>
      <c r="H15" s="21" t="s">
        <v>245</v>
      </c>
    </row>
    <row r="16" spans="1:8" x14ac:dyDescent="0.2">
      <c r="A16" s="16" t="s">
        <v>166</v>
      </c>
      <c r="B16" s="16" t="s">
        <v>167</v>
      </c>
      <c r="C16" s="20" t="s">
        <v>237</v>
      </c>
      <c r="D16" s="18" t="s">
        <v>238</v>
      </c>
      <c r="E16" s="18" t="s">
        <v>238</v>
      </c>
      <c r="F16" s="18" t="s">
        <v>238</v>
      </c>
      <c r="G16" s="19" t="s">
        <v>236</v>
      </c>
      <c r="H16" s="21" t="s">
        <v>248</v>
      </c>
    </row>
    <row r="17" spans="1:8" x14ac:dyDescent="0.2">
      <c r="A17" s="16" t="s">
        <v>166</v>
      </c>
      <c r="B17" s="16" t="s">
        <v>169</v>
      </c>
      <c r="C17" s="20" t="s">
        <v>237</v>
      </c>
      <c r="D17" s="18" t="s">
        <v>238</v>
      </c>
      <c r="E17" s="18" t="s">
        <v>238</v>
      </c>
      <c r="F17" s="18" t="s">
        <v>238</v>
      </c>
      <c r="G17" s="20" t="s">
        <v>237</v>
      </c>
      <c r="H17" s="21" t="s">
        <v>248</v>
      </c>
    </row>
    <row r="18" spans="1:8" x14ac:dyDescent="0.2">
      <c r="A18" s="16" t="s">
        <v>166</v>
      </c>
      <c r="B18" s="16" t="s">
        <v>249</v>
      </c>
      <c r="C18" s="20" t="s">
        <v>237</v>
      </c>
      <c r="D18" s="18" t="s">
        <v>238</v>
      </c>
      <c r="E18" s="18" t="s">
        <v>238</v>
      </c>
      <c r="F18" s="18" t="s">
        <v>238</v>
      </c>
      <c r="G18" s="19" t="s">
        <v>236</v>
      </c>
      <c r="H18" s="21" t="s">
        <v>248</v>
      </c>
    </row>
    <row r="19" spans="1:8" x14ac:dyDescent="0.2">
      <c r="A19" s="16" t="s">
        <v>166</v>
      </c>
      <c r="B19" s="16" t="s">
        <v>250</v>
      </c>
      <c r="C19" s="20" t="s">
        <v>237</v>
      </c>
      <c r="D19" s="18" t="s">
        <v>238</v>
      </c>
      <c r="E19" s="18" t="s">
        <v>238</v>
      </c>
      <c r="F19" s="18" t="s">
        <v>238</v>
      </c>
      <c r="G19" s="20" t="s">
        <v>237</v>
      </c>
      <c r="H19" s="21" t="s">
        <v>248</v>
      </c>
    </row>
    <row r="20" spans="1:8" x14ac:dyDescent="0.2">
      <c r="A20" s="16" t="s">
        <v>166</v>
      </c>
      <c r="B20" s="16" t="s">
        <v>32</v>
      </c>
      <c r="C20" s="19" t="s">
        <v>236</v>
      </c>
      <c r="D20" s="18" t="s">
        <v>238</v>
      </c>
      <c r="E20" s="18" t="s">
        <v>238</v>
      </c>
      <c r="F20" s="18" t="s">
        <v>238</v>
      </c>
      <c r="G20" s="20" t="s">
        <v>237</v>
      </c>
      <c r="H20" s="21" t="s">
        <v>251</v>
      </c>
    </row>
    <row r="21" spans="1:8" x14ac:dyDescent="0.2">
      <c r="A21" s="16" t="s">
        <v>166</v>
      </c>
      <c r="B21" s="16" t="s">
        <v>252</v>
      </c>
      <c r="C21" s="19" t="s">
        <v>236</v>
      </c>
      <c r="D21" s="18" t="s">
        <v>238</v>
      </c>
      <c r="E21" s="18" t="s">
        <v>238</v>
      </c>
      <c r="F21" s="18" t="s">
        <v>238</v>
      </c>
      <c r="G21" s="20" t="s">
        <v>237</v>
      </c>
      <c r="H21" s="21" t="s">
        <v>253</v>
      </c>
    </row>
    <row r="22" spans="1:8" x14ac:dyDescent="0.2">
      <c r="A22" s="16" t="s">
        <v>177</v>
      </c>
      <c r="B22" s="16" t="s">
        <v>178</v>
      </c>
      <c r="C22" s="19" t="s">
        <v>236</v>
      </c>
      <c r="D22" s="18" t="s">
        <v>238</v>
      </c>
      <c r="E22" s="20" t="s">
        <v>237</v>
      </c>
      <c r="F22" s="18" t="s">
        <v>238</v>
      </c>
      <c r="G22" s="19" t="s">
        <v>236</v>
      </c>
      <c r="H22" s="21" t="s">
        <v>254</v>
      </c>
    </row>
    <row r="23" spans="1:8" x14ac:dyDescent="0.2">
      <c r="A23" s="16" t="s">
        <v>177</v>
      </c>
      <c r="B23" s="16" t="s">
        <v>180</v>
      </c>
      <c r="C23" s="20" t="s">
        <v>237</v>
      </c>
      <c r="D23" s="18" t="s">
        <v>238</v>
      </c>
      <c r="E23" s="18" t="s">
        <v>238</v>
      </c>
      <c r="F23" s="18" t="s">
        <v>238</v>
      </c>
      <c r="G23" s="20" t="s">
        <v>237</v>
      </c>
      <c r="H23" s="21" t="s">
        <v>245</v>
      </c>
    </row>
    <row r="24" spans="1:8" x14ac:dyDescent="0.2">
      <c r="A24" s="16" t="s">
        <v>177</v>
      </c>
      <c r="B24" s="16" t="s">
        <v>255</v>
      </c>
      <c r="C24" s="19" t="s">
        <v>236</v>
      </c>
      <c r="D24" s="18" t="s">
        <v>238</v>
      </c>
      <c r="E24" s="20" t="s">
        <v>237</v>
      </c>
      <c r="F24" s="18" t="s">
        <v>238</v>
      </c>
      <c r="G24" s="20" t="s">
        <v>237</v>
      </c>
      <c r="H24" s="21" t="s">
        <v>256</v>
      </c>
    </row>
    <row r="25" spans="1:8" x14ac:dyDescent="0.2">
      <c r="A25" s="16" t="s">
        <v>187</v>
      </c>
      <c r="B25" s="16" t="s">
        <v>53</v>
      </c>
      <c r="C25" s="20" t="s">
        <v>237</v>
      </c>
      <c r="D25" s="20" t="s">
        <v>237</v>
      </c>
      <c r="E25" s="18" t="s">
        <v>238</v>
      </c>
      <c r="F25" s="18" t="s">
        <v>238</v>
      </c>
      <c r="G25" s="19" t="s">
        <v>236</v>
      </c>
      <c r="H25" s="21" t="s">
        <v>257</v>
      </c>
    </row>
    <row r="26" spans="1:8" x14ac:dyDescent="0.2">
      <c r="A26" s="16" t="s">
        <v>187</v>
      </c>
      <c r="B26" s="16" t="s">
        <v>87</v>
      </c>
      <c r="C26" s="20" t="s">
        <v>237</v>
      </c>
      <c r="D26" s="18" t="s">
        <v>238</v>
      </c>
      <c r="E26" s="18" t="s">
        <v>238</v>
      </c>
      <c r="F26" s="18" t="s">
        <v>238</v>
      </c>
      <c r="G26" s="19" t="s">
        <v>236</v>
      </c>
      <c r="H26" s="21" t="s">
        <v>258</v>
      </c>
    </row>
    <row r="27" spans="1:8" x14ac:dyDescent="0.2">
      <c r="A27" s="16" t="s">
        <v>187</v>
      </c>
      <c r="B27" s="16" t="s">
        <v>259</v>
      </c>
      <c r="C27" s="19" t="s">
        <v>236</v>
      </c>
      <c r="D27" s="19" t="s">
        <v>236</v>
      </c>
      <c r="E27" s="20" t="s">
        <v>237</v>
      </c>
      <c r="F27" s="19" t="s">
        <v>236</v>
      </c>
      <c r="G27" s="19" t="s">
        <v>236</v>
      </c>
      <c r="H27" s="21" t="s">
        <v>232</v>
      </c>
    </row>
    <row r="28" spans="1:8" x14ac:dyDescent="0.2">
      <c r="A28" s="16" t="s">
        <v>187</v>
      </c>
      <c r="B28" s="16" t="s">
        <v>260</v>
      </c>
      <c r="C28" s="19" t="s">
        <v>236</v>
      </c>
      <c r="D28" s="20" t="s">
        <v>237</v>
      </c>
      <c r="E28" s="18" t="s">
        <v>238</v>
      </c>
      <c r="F28" s="20" t="s">
        <v>237</v>
      </c>
      <c r="G28" s="20" t="s">
        <v>237</v>
      </c>
      <c r="H28" s="21" t="s">
        <v>261</v>
      </c>
    </row>
    <row r="29" spans="1:8" x14ac:dyDescent="0.2">
      <c r="A29" s="16" t="s">
        <v>197</v>
      </c>
      <c r="B29" s="16" t="s">
        <v>262</v>
      </c>
      <c r="C29" s="20" t="s">
        <v>237</v>
      </c>
      <c r="D29" s="19" t="s">
        <v>236</v>
      </c>
      <c r="E29" s="18" t="s">
        <v>238</v>
      </c>
      <c r="F29" s="18" t="s">
        <v>238</v>
      </c>
      <c r="G29" s="19" t="s">
        <v>236</v>
      </c>
      <c r="H29" s="21" t="s">
        <v>263</v>
      </c>
    </row>
    <row r="30" spans="1:8" x14ac:dyDescent="0.2">
      <c r="A30" s="16" t="s">
        <v>197</v>
      </c>
      <c r="B30" s="16" t="s">
        <v>201</v>
      </c>
      <c r="C30" s="20" t="s">
        <v>237</v>
      </c>
      <c r="D30" s="18" t="s">
        <v>238</v>
      </c>
      <c r="E30" s="18" t="s">
        <v>238</v>
      </c>
      <c r="F30" s="18" t="s">
        <v>238</v>
      </c>
      <c r="G30" s="19" t="s">
        <v>236</v>
      </c>
      <c r="H30" s="21" t="s">
        <v>264</v>
      </c>
    </row>
    <row r="31" spans="1:8" x14ac:dyDescent="0.2">
      <c r="A31" s="16" t="s">
        <v>197</v>
      </c>
      <c r="B31" s="16" t="s">
        <v>203</v>
      </c>
      <c r="C31" s="20" t="s">
        <v>237</v>
      </c>
      <c r="D31" s="18" t="s">
        <v>238</v>
      </c>
      <c r="E31" s="18" t="s">
        <v>238</v>
      </c>
      <c r="F31" s="18" t="s">
        <v>238</v>
      </c>
      <c r="G31" s="19" t="s">
        <v>236</v>
      </c>
      <c r="H31" s="21" t="s">
        <v>265</v>
      </c>
    </row>
    <row r="32" spans="1:8" x14ac:dyDescent="0.2">
      <c r="A32" s="16" t="s">
        <v>197</v>
      </c>
      <c r="B32" s="16" t="s">
        <v>266</v>
      </c>
      <c r="C32" s="19" t="s">
        <v>236</v>
      </c>
      <c r="D32" s="18" t="s">
        <v>238</v>
      </c>
      <c r="E32" s="18" t="s">
        <v>238</v>
      </c>
      <c r="F32" s="20" t="s">
        <v>237</v>
      </c>
      <c r="G32" s="19" t="s">
        <v>236</v>
      </c>
      <c r="H32" s="21" t="s">
        <v>267</v>
      </c>
    </row>
    <row r="33" spans="1:8" x14ac:dyDescent="0.2">
      <c r="A33" s="16" t="s">
        <v>197</v>
      </c>
      <c r="B33" s="16" t="s">
        <v>268</v>
      </c>
      <c r="C33" s="18" t="s">
        <v>238</v>
      </c>
      <c r="D33" s="18" t="s">
        <v>238</v>
      </c>
      <c r="E33" s="18" t="s">
        <v>238</v>
      </c>
      <c r="F33" s="20" t="s">
        <v>237</v>
      </c>
      <c r="G33" s="19" t="s">
        <v>236</v>
      </c>
      <c r="H33" s="21" t="s">
        <v>269</v>
      </c>
    </row>
    <row r="34" spans="1:8" x14ac:dyDescent="0.2">
      <c r="A34" s="16" t="s">
        <v>197</v>
      </c>
      <c r="B34" s="16" t="s">
        <v>270</v>
      </c>
      <c r="C34" s="18" t="s">
        <v>238</v>
      </c>
      <c r="D34" s="18" t="s">
        <v>238</v>
      </c>
      <c r="E34" s="18" t="s">
        <v>238</v>
      </c>
      <c r="F34" s="20" t="s">
        <v>237</v>
      </c>
      <c r="G34" s="19" t="s">
        <v>236</v>
      </c>
      <c r="H34" s="21" t="s">
        <v>267</v>
      </c>
    </row>
    <row r="35" spans="1:8" x14ac:dyDescent="0.2">
      <c r="A35" s="16" t="s">
        <v>197</v>
      </c>
      <c r="B35" s="16" t="s">
        <v>116</v>
      </c>
      <c r="C35" s="18" t="s">
        <v>238</v>
      </c>
      <c r="D35" s="18" t="s">
        <v>238</v>
      </c>
      <c r="E35" s="18" t="s">
        <v>238</v>
      </c>
      <c r="F35" s="20" t="s">
        <v>237</v>
      </c>
      <c r="G35" s="19" t="s">
        <v>236</v>
      </c>
      <c r="H35" s="21" t="s">
        <v>267</v>
      </c>
    </row>
    <row r="36" spans="1:8" x14ac:dyDescent="0.2">
      <c r="A36" s="16" t="s">
        <v>211</v>
      </c>
      <c r="B36" s="16" t="s">
        <v>59</v>
      </c>
      <c r="C36" s="18" t="s">
        <v>238</v>
      </c>
      <c r="D36" s="20" t="s">
        <v>237</v>
      </c>
      <c r="E36" s="18" t="s">
        <v>238</v>
      </c>
      <c r="F36" s="18" t="s">
        <v>238</v>
      </c>
      <c r="G36" s="18" t="s">
        <v>238</v>
      </c>
      <c r="H36" s="21" t="s">
        <v>271</v>
      </c>
    </row>
    <row r="37" spans="1:8" x14ac:dyDescent="0.2">
      <c r="A37" s="16" t="s">
        <v>211</v>
      </c>
      <c r="B37" s="16" t="s">
        <v>272</v>
      </c>
      <c r="C37" s="18" t="s">
        <v>238</v>
      </c>
      <c r="D37" s="20" t="s">
        <v>237</v>
      </c>
      <c r="E37" s="18" t="s">
        <v>238</v>
      </c>
      <c r="F37" s="18" t="s">
        <v>238</v>
      </c>
      <c r="G37" s="18" t="s">
        <v>238</v>
      </c>
      <c r="H37" s="21" t="s">
        <v>273</v>
      </c>
    </row>
    <row r="38" spans="1:8" x14ac:dyDescent="0.2">
      <c r="A38" s="16" t="s">
        <v>211</v>
      </c>
      <c r="B38" s="16" t="s">
        <v>219</v>
      </c>
      <c r="C38" s="18" t="s">
        <v>238</v>
      </c>
      <c r="D38" s="20" t="s">
        <v>237</v>
      </c>
      <c r="E38" s="20" t="s">
        <v>237</v>
      </c>
      <c r="F38" s="18" t="s">
        <v>238</v>
      </c>
      <c r="G38" s="18" t="s">
        <v>238</v>
      </c>
      <c r="H38" s="21" t="s">
        <v>241</v>
      </c>
    </row>
    <row r="39" spans="1:8" x14ac:dyDescent="0.2">
      <c r="A39" s="16" t="s">
        <v>211</v>
      </c>
      <c r="B39" s="16" t="s">
        <v>274</v>
      </c>
      <c r="C39" s="20" t="s">
        <v>237</v>
      </c>
      <c r="D39" s="20" t="s">
        <v>237</v>
      </c>
      <c r="E39" s="18" t="s">
        <v>238</v>
      </c>
      <c r="F39" s="18" t="s">
        <v>238</v>
      </c>
      <c r="G39" s="18" t="s">
        <v>238</v>
      </c>
      <c r="H39" s="21" t="s">
        <v>275</v>
      </c>
    </row>
    <row r="40" spans="1:8" x14ac:dyDescent="0.2">
      <c r="A40" s="16" t="s">
        <v>225</v>
      </c>
      <c r="B40" s="16" t="s">
        <v>226</v>
      </c>
      <c r="C40" s="19" t="s">
        <v>236</v>
      </c>
      <c r="D40" s="20" t="s">
        <v>237</v>
      </c>
      <c r="E40" s="19" t="s">
        <v>236</v>
      </c>
      <c r="F40" s="19" t="s">
        <v>236</v>
      </c>
      <c r="G40" s="19" t="s">
        <v>236</v>
      </c>
      <c r="H40" s="21" t="s">
        <v>276</v>
      </c>
    </row>
    <row r="42" spans="1:8" x14ac:dyDescent="0.2">
      <c r="A42" s="9" t="s">
        <v>277</v>
      </c>
      <c r="B42" s="9"/>
      <c r="C42" s="9"/>
      <c r="D42" s="9"/>
      <c r="E42" s="9"/>
      <c r="F42" s="9"/>
      <c r="G42" s="9"/>
      <c r="H42" s="9"/>
    </row>
    <row r="43" spans="1:8" x14ac:dyDescent="0.2">
      <c r="A43" s="8" t="s">
        <v>278</v>
      </c>
      <c r="B43" s="8"/>
      <c r="C43" s="8"/>
      <c r="D43" s="8"/>
      <c r="E43" s="8"/>
      <c r="F43" s="8"/>
      <c r="G43" s="8"/>
      <c r="H43" s="8"/>
    </row>
    <row r="44" spans="1:8" x14ac:dyDescent="0.2">
      <c r="A44" s="8" t="s">
        <v>279</v>
      </c>
      <c r="B44" s="8"/>
      <c r="C44" s="8"/>
      <c r="D44" s="8"/>
      <c r="E44" s="8"/>
      <c r="F44" s="8"/>
      <c r="G44" s="8"/>
      <c r="H44" s="8"/>
    </row>
    <row r="45" spans="1:8" x14ac:dyDescent="0.2">
      <c r="A45" s="8" t="s">
        <v>280</v>
      </c>
      <c r="B45" s="8"/>
      <c r="C45" s="8"/>
      <c r="D45" s="8"/>
      <c r="E45" s="8"/>
      <c r="F45" s="8"/>
      <c r="G45" s="8"/>
      <c r="H45" s="8"/>
    </row>
    <row r="46" spans="1:8" x14ac:dyDescent="0.2">
      <c r="A46" s="8" t="s">
        <v>281</v>
      </c>
      <c r="B46" s="8"/>
      <c r="C46" s="8"/>
      <c r="D46" s="8"/>
      <c r="E46" s="8"/>
      <c r="F46" s="8"/>
      <c r="G46" s="8"/>
      <c r="H46" s="8"/>
    </row>
    <row r="47" spans="1:8" x14ac:dyDescent="0.2">
      <c r="A47" s="8" t="s">
        <v>282</v>
      </c>
      <c r="B47" s="8"/>
      <c r="C47" s="8"/>
      <c r="D47" s="8"/>
      <c r="E47" s="8"/>
      <c r="F47" s="8"/>
      <c r="G47" s="8"/>
      <c r="H47" s="8"/>
    </row>
    <row r="49" spans="1:8" x14ac:dyDescent="0.2">
      <c r="A49" s="7" t="s">
        <v>283</v>
      </c>
      <c r="B49" s="7"/>
      <c r="C49" s="7"/>
      <c r="D49" s="7"/>
      <c r="E49" s="7"/>
      <c r="F49" s="7"/>
      <c r="G49" s="7"/>
      <c r="H49" s="7"/>
    </row>
    <row r="50" spans="1:8" x14ac:dyDescent="0.2">
      <c r="A50" s="8" t="s">
        <v>284</v>
      </c>
      <c r="B50" s="8"/>
      <c r="C50" s="8"/>
      <c r="D50" s="8"/>
      <c r="E50" s="8"/>
      <c r="F50" s="8"/>
      <c r="G50" s="8"/>
      <c r="H50" s="8"/>
    </row>
    <row r="51" spans="1:8" x14ac:dyDescent="0.2">
      <c r="A51" s="8" t="s">
        <v>285</v>
      </c>
      <c r="B51" s="8"/>
      <c r="C51" s="8"/>
      <c r="D51" s="8"/>
      <c r="E51" s="8"/>
      <c r="F51" s="8"/>
      <c r="G51" s="8"/>
      <c r="H51" s="8"/>
    </row>
    <row r="52" spans="1:8" x14ac:dyDescent="0.2">
      <c r="A52" s="8" t="s">
        <v>286</v>
      </c>
      <c r="B52" s="8"/>
      <c r="C52" s="8"/>
      <c r="D52" s="8"/>
      <c r="E52" s="8"/>
      <c r="F52" s="8"/>
      <c r="G52" s="8"/>
      <c r="H52" s="8"/>
    </row>
    <row r="53" spans="1:8" x14ac:dyDescent="0.2">
      <c r="A53" s="8" t="s">
        <v>287</v>
      </c>
      <c r="B53" s="8"/>
      <c r="C53" s="8"/>
      <c r="D53" s="8"/>
      <c r="E53" s="8"/>
      <c r="F53" s="8"/>
      <c r="G53" s="8"/>
      <c r="H53" s="8"/>
    </row>
    <row r="54" spans="1:8" x14ac:dyDescent="0.2">
      <c r="A54" s="8" t="s">
        <v>288</v>
      </c>
      <c r="B54" s="8"/>
      <c r="C54" s="8"/>
      <c r="D54" s="8"/>
      <c r="E54" s="8"/>
      <c r="F54" s="8"/>
      <c r="G54" s="8"/>
      <c r="H54" s="8"/>
    </row>
    <row r="56" spans="1:8" x14ac:dyDescent="0.2">
      <c r="A56" s="6" t="s">
        <v>289</v>
      </c>
      <c r="B56" s="6"/>
      <c r="C56" s="6"/>
      <c r="D56" s="6"/>
      <c r="E56" s="6"/>
      <c r="F56" s="6"/>
      <c r="G56" s="6"/>
      <c r="H56" s="6"/>
    </row>
    <row r="57" spans="1:8" x14ac:dyDescent="0.2">
      <c r="A57" s="8" t="s">
        <v>290</v>
      </c>
      <c r="B57" s="8"/>
      <c r="C57" s="8"/>
      <c r="D57" s="8"/>
      <c r="E57" s="8"/>
      <c r="F57" s="8"/>
      <c r="G57" s="8"/>
      <c r="H57" s="8"/>
    </row>
    <row r="58" spans="1:8" x14ac:dyDescent="0.2">
      <c r="A58" s="8" t="s">
        <v>291</v>
      </c>
      <c r="B58" s="8"/>
      <c r="C58" s="8"/>
      <c r="D58" s="8"/>
      <c r="E58" s="8"/>
      <c r="F58" s="8"/>
      <c r="G58" s="8"/>
      <c r="H58" s="8"/>
    </row>
    <row r="59" spans="1:8" x14ac:dyDescent="0.2">
      <c r="A59" s="8" t="s">
        <v>292</v>
      </c>
      <c r="B59" s="8"/>
      <c r="C59" s="8"/>
      <c r="D59" s="8"/>
      <c r="E59" s="8"/>
      <c r="F59" s="8"/>
      <c r="G59" s="8"/>
      <c r="H59" s="8"/>
    </row>
    <row r="60" spans="1:8" x14ac:dyDescent="0.2">
      <c r="A60" s="8" t="s">
        <v>293</v>
      </c>
      <c r="B60" s="8"/>
      <c r="C60" s="8"/>
      <c r="D60" s="8"/>
      <c r="E60" s="8"/>
      <c r="F60" s="8"/>
      <c r="G60" s="8"/>
      <c r="H60" s="8"/>
    </row>
  </sheetData>
  <mergeCells count="19">
    <mergeCell ref="A57:H57"/>
    <mergeCell ref="A58:H58"/>
    <mergeCell ref="A59:H59"/>
    <mergeCell ref="A60:H60"/>
    <mergeCell ref="A51:H51"/>
    <mergeCell ref="A52:H52"/>
    <mergeCell ref="A53:H53"/>
    <mergeCell ref="A54:H54"/>
    <mergeCell ref="A56:H56"/>
    <mergeCell ref="A45:H45"/>
    <mergeCell ref="A46:H46"/>
    <mergeCell ref="A47:H47"/>
    <mergeCell ref="A49:H49"/>
    <mergeCell ref="A50:H50"/>
    <mergeCell ref="A1:H1"/>
    <mergeCell ref="A2:H2"/>
    <mergeCell ref="A42:H42"/>
    <mergeCell ref="A43:H43"/>
    <mergeCell ref="A44:H4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9"/>
  <sheetViews>
    <sheetView zoomScaleNormal="100" workbookViewId="0">
      <pane ySplit="4" topLeftCell="A5" activePane="bottomLeft" state="frozen"/>
      <selection pane="bottomLeft" sqref="A1:F1"/>
    </sheetView>
  </sheetViews>
  <sheetFormatPr baseColWidth="10" defaultColWidth="8.6640625" defaultRowHeight="15" x14ac:dyDescent="0.2"/>
  <cols>
    <col min="1" max="1" width="32" customWidth="1"/>
    <col min="2" max="2" width="48" customWidth="1"/>
    <col min="3" max="3" width="10" customWidth="1"/>
    <col min="4" max="4" width="16" customWidth="1"/>
    <col min="5" max="6" width="18" customWidth="1"/>
  </cols>
  <sheetData>
    <row r="1" spans="1:6" ht="24" customHeight="1" x14ac:dyDescent="0.2">
      <c r="A1" s="13" t="s">
        <v>294</v>
      </c>
      <c r="B1" s="13"/>
      <c r="C1" s="13"/>
      <c r="D1" s="13"/>
      <c r="E1" s="13"/>
      <c r="F1" s="13"/>
    </row>
    <row r="2" spans="1:6" ht="15" customHeight="1" x14ac:dyDescent="0.2">
      <c r="A2" s="10" t="s">
        <v>295</v>
      </c>
      <c r="B2" s="10"/>
      <c r="C2" s="10"/>
      <c r="D2" s="10"/>
      <c r="E2" s="10"/>
      <c r="F2" s="10"/>
    </row>
    <row r="4" spans="1:6" ht="26.25" customHeight="1" x14ac:dyDescent="0.2">
      <c r="A4" s="15" t="s">
        <v>296</v>
      </c>
      <c r="B4" s="15" t="s">
        <v>297</v>
      </c>
      <c r="C4" s="15" t="s">
        <v>298</v>
      </c>
      <c r="D4" s="15" t="s">
        <v>299</v>
      </c>
      <c r="E4" s="15" t="s">
        <v>300</v>
      </c>
      <c r="F4" s="15" t="s">
        <v>301</v>
      </c>
    </row>
    <row r="5" spans="1:6" ht="15" customHeight="1" x14ac:dyDescent="0.2">
      <c r="A5" s="21" t="s">
        <v>302</v>
      </c>
      <c r="B5" s="16" t="s">
        <v>303</v>
      </c>
      <c r="C5" s="22">
        <v>25</v>
      </c>
      <c r="D5" s="22">
        <v>94</v>
      </c>
      <c r="E5" s="23">
        <f t="shared" ref="E5:E12" si="0">C5*D5/100</f>
        <v>23.5</v>
      </c>
      <c r="F5" s="16" t="s">
        <v>13</v>
      </c>
    </row>
    <row r="6" spans="1:6" ht="15" customHeight="1" x14ac:dyDescent="0.2">
      <c r="A6" s="21" t="s">
        <v>304</v>
      </c>
      <c r="B6" s="16" t="s">
        <v>305</v>
      </c>
      <c r="C6" s="22">
        <v>20</v>
      </c>
      <c r="D6" s="22">
        <v>88</v>
      </c>
      <c r="E6" s="23">
        <f t="shared" si="0"/>
        <v>17.600000000000001</v>
      </c>
      <c r="F6" s="16" t="s">
        <v>31</v>
      </c>
    </row>
    <row r="7" spans="1:6" ht="15" customHeight="1" x14ac:dyDescent="0.2">
      <c r="A7" s="21" t="s">
        <v>166</v>
      </c>
      <c r="B7" s="16" t="s">
        <v>306</v>
      </c>
      <c r="C7" s="22">
        <v>15</v>
      </c>
      <c r="D7" s="22">
        <v>78</v>
      </c>
      <c r="E7" s="23">
        <f t="shared" si="0"/>
        <v>11.7</v>
      </c>
      <c r="F7" s="16" t="s">
        <v>147</v>
      </c>
    </row>
    <row r="8" spans="1:6" ht="15" customHeight="1" x14ac:dyDescent="0.2">
      <c r="A8" s="21" t="s">
        <v>177</v>
      </c>
      <c r="B8" s="16" t="s">
        <v>307</v>
      </c>
      <c r="C8" s="22">
        <v>10</v>
      </c>
      <c r="D8" s="22">
        <v>95</v>
      </c>
      <c r="E8" s="23">
        <f t="shared" si="0"/>
        <v>9.5</v>
      </c>
      <c r="F8" s="16" t="s">
        <v>13</v>
      </c>
    </row>
    <row r="9" spans="1:6" ht="15" customHeight="1" x14ac:dyDescent="0.2">
      <c r="A9" s="21" t="s">
        <v>187</v>
      </c>
      <c r="B9" s="16" t="s">
        <v>308</v>
      </c>
      <c r="C9" s="22">
        <v>10</v>
      </c>
      <c r="D9" s="22">
        <v>82</v>
      </c>
      <c r="E9" s="23">
        <f t="shared" si="0"/>
        <v>8.1999999999999993</v>
      </c>
      <c r="F9" s="16" t="s">
        <v>31</v>
      </c>
    </row>
    <row r="10" spans="1:6" ht="23.25" customHeight="1" x14ac:dyDescent="0.2">
      <c r="A10" s="21" t="s">
        <v>309</v>
      </c>
      <c r="B10" s="16" t="s">
        <v>310</v>
      </c>
      <c r="C10" s="22">
        <v>10</v>
      </c>
      <c r="D10" s="22">
        <v>75</v>
      </c>
      <c r="E10" s="23">
        <f t="shared" si="0"/>
        <v>7.5</v>
      </c>
      <c r="F10" s="16" t="s">
        <v>31</v>
      </c>
    </row>
    <row r="11" spans="1:6" ht="15" customHeight="1" x14ac:dyDescent="0.2">
      <c r="A11" s="21" t="s">
        <v>311</v>
      </c>
      <c r="B11" s="16" t="s">
        <v>312</v>
      </c>
      <c r="C11" s="22">
        <v>5</v>
      </c>
      <c r="D11" s="22">
        <v>70</v>
      </c>
      <c r="E11" s="23">
        <f t="shared" si="0"/>
        <v>3.5</v>
      </c>
      <c r="F11" s="16" t="s">
        <v>26</v>
      </c>
    </row>
    <row r="12" spans="1:6" ht="15" customHeight="1" x14ac:dyDescent="0.2">
      <c r="A12" s="21" t="s">
        <v>313</v>
      </c>
      <c r="B12" s="16" t="s">
        <v>314</v>
      </c>
      <c r="C12" s="22">
        <v>5</v>
      </c>
      <c r="D12" s="22">
        <v>92</v>
      </c>
      <c r="E12" s="23">
        <f t="shared" si="0"/>
        <v>4.5999999999999996</v>
      </c>
      <c r="F12" s="16" t="s">
        <v>31</v>
      </c>
    </row>
    <row r="13" spans="1:6" ht="15" customHeight="1" x14ac:dyDescent="0.2">
      <c r="A13" s="24" t="s">
        <v>315</v>
      </c>
      <c r="B13" s="25"/>
      <c r="C13" s="26">
        <f>SUM(C5:C12)</f>
        <v>100</v>
      </c>
      <c r="D13" s="25"/>
      <c r="E13" s="27">
        <f>SUM(E5:E12)</f>
        <v>86.1</v>
      </c>
      <c r="F13" s="24" t="s">
        <v>316</v>
      </c>
    </row>
    <row r="15" spans="1:6" ht="15" customHeight="1" x14ac:dyDescent="0.2">
      <c r="A15" s="5" t="s">
        <v>317</v>
      </c>
      <c r="B15" s="5"/>
      <c r="C15" s="5"/>
      <c r="D15" s="5"/>
      <c r="E15" s="5"/>
      <c r="F15" s="5"/>
    </row>
    <row r="16" spans="1:6" ht="15" customHeight="1" x14ac:dyDescent="0.2">
      <c r="A16" s="15" t="s">
        <v>318</v>
      </c>
      <c r="B16" s="15" t="s">
        <v>319</v>
      </c>
      <c r="C16" s="4" t="s">
        <v>320</v>
      </c>
      <c r="D16" s="4"/>
      <c r="E16" s="4"/>
      <c r="F16" s="4"/>
    </row>
    <row r="17" spans="1:6" ht="15" customHeight="1" x14ac:dyDescent="0.2">
      <c r="A17" s="28" t="s">
        <v>321</v>
      </c>
      <c r="B17" s="29" t="s">
        <v>145</v>
      </c>
      <c r="C17" s="3" t="s">
        <v>322</v>
      </c>
      <c r="D17" s="3"/>
      <c r="E17" s="3"/>
      <c r="F17" s="3"/>
    </row>
    <row r="18" spans="1:6" ht="15" customHeight="1" x14ac:dyDescent="0.2">
      <c r="A18" s="30" t="s">
        <v>323</v>
      </c>
      <c r="B18" s="31" t="s">
        <v>146</v>
      </c>
      <c r="C18" s="2" t="s">
        <v>324</v>
      </c>
      <c r="D18" s="2"/>
      <c r="E18" s="2"/>
      <c r="F18" s="2"/>
    </row>
    <row r="19" spans="1:6" ht="15" customHeight="1" x14ac:dyDescent="0.2">
      <c r="A19" s="32" t="s">
        <v>325</v>
      </c>
      <c r="B19" s="33" t="s">
        <v>147</v>
      </c>
      <c r="C19" s="1" t="s">
        <v>326</v>
      </c>
      <c r="D19" s="1"/>
      <c r="E19" s="1"/>
      <c r="F19" s="1"/>
    </row>
  </sheetData>
  <mergeCells count="7">
    <mergeCell ref="C18:F18"/>
    <mergeCell ref="C19:F19"/>
    <mergeCell ref="A1:F1"/>
    <mergeCell ref="A2:F2"/>
    <mergeCell ref="A15:F15"/>
    <mergeCell ref="C16:F16"/>
    <mergeCell ref="C17:F17"/>
  </mergeCells>
  <conditionalFormatting sqref="D5:D12">
    <cfRule type="cellIs" dxfId="5" priority="2" operator="lessThan">
      <formula>70</formula>
    </cfRule>
    <cfRule type="cellIs" dxfId="4" priority="3" operator="between">
      <formula>70</formula>
      <formula>84.999</formula>
    </cfRule>
    <cfRule type="cellIs" dxfId="3" priority="4" operator="greaterThanOrEqual">
      <formula>85</formula>
    </cfRule>
  </conditionalFormatting>
  <conditionalFormatting sqref="E13">
    <cfRule type="cellIs" dxfId="2" priority="5" operator="lessThan">
      <formula>70</formula>
    </cfRule>
    <cfRule type="cellIs" dxfId="1" priority="6" operator="between">
      <formula>70</formula>
      <formula>84.999</formula>
    </cfRule>
    <cfRule type="cellIs" dxfId="0" priority="7" operator="greaterThanOrEqual">
      <formula>85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Чек-лист Киоск</vt:lpstr>
      <vt:lpstr>Чек-лист HoReCa Бар</vt:lpstr>
      <vt:lpstr>Чек-лист HoReCa Кафе</vt:lpstr>
      <vt:lpstr>Примеры значений KPI</vt:lpstr>
      <vt:lpstr>Источник данных по KPI</vt:lpstr>
      <vt:lpstr>Perfect Store 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Igor Malkov</cp:lastModifiedBy>
  <cp:revision>0</cp:revision>
  <dcterms:created xsi:type="dcterms:W3CDTF">2026-04-22T07:25:10Z</dcterms:created>
  <dcterms:modified xsi:type="dcterms:W3CDTF">2026-04-26T11:36:29Z</dcterms:modified>
  <dc:language>en-US</dc:language>
</cp:coreProperties>
</file>